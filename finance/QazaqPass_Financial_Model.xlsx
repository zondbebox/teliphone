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5b085a43d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73638282474efe"/>
    <x:sheet xmlns:r="http://schemas.openxmlformats.org/officeDocument/2006/relationships" name="Assumptions" sheetId="2" r:id="R1b9a674b64c34cd9"/>
    <x:sheet xmlns:r="http://schemas.openxmlformats.org/officeDocument/2006/relationships" name="Monthly cash flow" sheetId="3" r:id="Rc46b8dc2ddc1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;(#,##0);&quot;–&quot;"/>
    <x:numFmt numFmtId="202" formatCode="mmm-yy"/>
    <x:numFmt numFmtId="203" formatCode="#,##0.0;(#,##0.0);&quot;–&quot;"/>
  </x:numFmts>
  <x:fonts count="11">
    <x:font>
      <x:sz val="11"/>
      <x:name val="Carlito"/>
    </x:font>
    <x:font>
      <x:sz val="10"/>
      <x:color rgb="FF182D35"/>
      <x:name val="Arial"/>
    </x:font>
    <x:font>
      <x:b/>
      <x:sz val="15"/>
      <x:color rgb="FF163A46"/>
      <x:name val="Arial"/>
    </x:font>
    <x:font>
      <x:b/>
      <x:sz val="10"/>
      <x:color rgb="FF147446"/>
      <x:name val="Arial"/>
    </x:font>
    <x:font>
      <x:sz val="10"/>
      <x:color rgb="FF000000"/>
      <x:name val="Arial"/>
    </x:font>
    <x:font>
      <x:b/>
      <x:sz val="10"/>
      <x:color rgb="FFFFFFFF"/>
      <x:name val="Arial"/>
    </x:font>
    <x:font>
      <x:sz val="10"/>
      <x:color rgb="FF1F57B8"/>
      <x:name val="Arial"/>
    </x:font>
    <x:font>
      <x:b/>
      <x:sz val="10"/>
      <x:color rgb="FF1F57B8"/>
      <x:name val="Arial"/>
    </x:font>
    <x:font>
      <x:b/>
      <x:sz val="10"/>
      <x:color rgb="FF182D35"/>
      <x:name val="Arial"/>
    </x:font>
    <x:font>
      <x:b/>
      <x:sz val="10"/>
      <x:color rgb="FF000000"/>
      <x:name val="Arial"/>
    </x:font>
    <x:font>
      <x:sz val="10"/>
      <x:color rgb="FF1474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F0EF"/>
      </x:patternFill>
    </x:fill>
    <x:fill>
      <x:patternFill patternType="solid">
        <x:fgColor rgb="FF163A46"/>
      </x:patternFill>
    </x:fill>
    <x:fill>
      <x:patternFill patternType="solid">
        <x:fgColor rgb="FFFFF5D9"/>
      </x:patternFill>
    </x:fill>
  </x:fills>
  <x:borders count="4">
    <x:border>
      <x:left/>
      <x:right/>
      <x:top/>
      <x:bottom/>
      <x:diagonal/>
    </x:border>
    <x:border>
      <x:left style="dotted">
        <x:color rgb="FF2F6F72"/>
      </x:left>
      <x:right style="dotted">
        <x:color rgb="FF2F6F72"/>
      </x:right>
      <x:top style="dotted">
        <x:color rgb="FF2F6F72"/>
      </x:top>
      <x:bottom style="dotted">
        <x:color rgb="FF2F6F72"/>
      </x:bottom>
      <x:diagonal/>
    </x:border>
    <x:border>
      <x:left/>
      <x:right/>
      <x:top/>
      <x:bottom style="thin">
        <x:color rgb="FFFFFFFF"/>
      </x:bottom>
      <x:diagonal/>
    </x:border>
    <x:border>
      <x:left/>
      <x:right/>
      <x:top style="thin">
        <x:color rgb="FF9CAFB3"/>
      </x:top>
      <x:bottom/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3" borderId="2" xfId="0" applyNumberFormat="1" applyFont="1" applyFill="1" applyBorder="1" applyAlignment="1">
      <x:alignment horizontal="center"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8" fillId="0" borderId="3" xfId="0" applyNumberFormat="1" applyFont="1" applyFill="1" applyBorder="1" applyAlignment="1">
      <x:alignment vertical="center"/>
    </x:xf>
    <x:xf numFmtId="201" fontId="9" fillId="0" borderId="3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2" fontId="10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5" fillId="3" borderId="2" xfId="0" applyNumberFormat="1" applyFont="1" applyFill="1" applyBorder="1" applyAlignment="1">
      <x:alignment vertical="center"/>
    </x:xf>
    <x:xf numFmtId="202" fontId="5" fillId="3" borderId="2" xfId="0" applyNumberFormat="1" applyFont="1" applyFill="1" applyBorder="1" applyAlignment="1">
      <x:alignment horizontal="center" vertical="center"/>
    </x:xf>
    <x:xf numFmtId="203" fontId="10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3" fontId="9" fillId="0" borderId="3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horizontal="right" vertical="center"/>
    </x:xf>
    <x:xf numFmtId="200" fontId="8" fillId="0" borderId="3" xfId="0" applyNumberFormat="1" applyFont="1" applyFill="1" applyBorder="1" applyAlignment="1">
      <x:alignment vertical="center"/>
    </x:xf>
    <x:xf numFmtId="201" fontId="8" fillId="0" borderId="3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color rgb="FFA53832"/>
      </x:font>
    </x:dxf>
    <x:dxf>
      <x:font>
        <x:b/>
        <x:color rgb="FFA53832"/>
      </x:font>
      <x:fill>
        <x:patternFill patternType="solid">
          <x:bgColor rgb="FFFBE4E1"/>
        </x:patternFill>
      </x:fill>
    </x:dxf>
    <x:dxf>
      <x:font>
        <x:b/>
        <x:color rgb="FFA53832"/>
      </x:font>
      <x:fill>
        <x:patternFill patternType="solid">
          <x:bgColor rgb="FFFB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97752069942df" /><Relationship Type="http://schemas.openxmlformats.org/officeDocument/2006/relationships/theme" Target="/xl/theme/theme1.xml" Id="R7960cc25565e47b1" /><Relationship Type="http://schemas.openxmlformats.org/officeDocument/2006/relationships/sharedStrings" Target="/xl/sharedStrings.xml" Id="Rfd4aa5d4ca574be5" /><Relationship Type="http://schemas.openxmlformats.org/officeDocument/2006/relationships/worksheet" Target="/xl/worksheets/sheet1.xml" Id="R8f73638282474efe" /><Relationship Type="http://schemas.openxmlformats.org/officeDocument/2006/relationships/worksheet" Target="/xl/worksheets/sheet2.xml" Id="R1b9a674b64c34cd9" /><Relationship Type="http://schemas.openxmlformats.org/officeDocument/2006/relationships/worksheet" Target="/xl/worksheets/sheet3.xml" Id="Rc46b8dc2ddc141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3A46"/>
  </x:sheetPr>
  <x:sheetViews>
    <x:sheetView showGridLines="0" workbookViewId="0"/>
  </x:sheetViews>
  <x:sheetFormatPr defaultRowHeight="15"/>
  <x:cols>
    <x:col min="1" max="1" width="2.200000047683716" hidden="0" customWidth="1"/>
    <x:col min="2" max="2" width="2.200000047683716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21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1" customHeight="1">
      <x:c r="C2" s="3" t="str">
        <x:v>QazaqPass financial outlook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1" customHeight="1"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1" customHeight="1">
      <x:c r="C4" s="2" t="str">
        <x:v>Case selected</x:v>
      </x:c>
      <x:c r="D4" s="7" t="str">
        <x:f>Assumptions!D4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1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21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21" customHeight="1">
      <x:c r="C7" s="14" t="str">
        <x:v>Metric (KZT unless stated)</x:v>
      </x:c>
      <x:c r="D7" s="14" t="str">
        <x:v>Year 1: 2027</x:v>
      </x:c>
      <x:c r="E7" s="14" t="str">
        <x:v>Year 2: 2028</x:v>
      </x:c>
      <x:c r="F7" s="14" t="str">
        <x:v>Total 24 months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1" customHeight="1">
      <x:c r="C8" s="2" t="str">
        <x:v>New completed travelers</x:v>
      </x:c>
      <x:c r="D8" s="45" t="n">
        <x:f>SUM('Monthly cash flow'!D18:O18)</x:f>
        <x:v>180.00000000000003</x:v>
      </x:c>
      <x:c r="E8" s="45" t="n">
        <x:f>SUM('Monthly cash flow'!P18:AA18)</x:f>
        <x:v>1500</x:v>
      </x:c>
      <x:c r="F8" s="45" t="n">
        <x:f>SUM('Monthly cash flow'!D18:AA18)</x:f>
        <x:v>1680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21" customHeight="1">
      <x:c r="C9" s="2" t="str">
        <x:v>Incremental tour revenue</x:v>
      </x:c>
      <x:c r="D9" s="15" t="n">
        <x:f>SUM('Monthly cash flow'!D23:O23)</x:f>
        <x:v>7920000</x:v>
      </x:c>
      <x:c r="E9" s="15" t="n">
        <x:f>SUM('Monthly cash flow'!P23:AA23)</x:f>
        <x:v>66000000</x:v>
      </x:c>
      <x:c r="F9" s="15" t="n">
        <x:f>SUM('Monthly cash flow'!D23:AA23)</x:f>
        <x:v>73920000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21" customHeight="1">
      <x:c r="C10" s="24" t="str">
        <x:v>Incremental contribution</x:v>
      </x:c>
      <x:c r="D10" s="27" t="n">
        <x:f>SUM('Monthly cash flow'!D27:O27)</x:f>
        <x:v>2059200</x:v>
      </x:c>
      <x:c r="E10" s="27" t="n">
        <x:f>SUM('Monthly cash flow'!P27:AA27)</x:f>
        <x:v>17160000</x:v>
      </x:c>
      <x:c r="F10" s="27" t="n">
        <x:f>SUM('Monthly cash flow'!D27:AA27)</x:f>
        <x:v>19219200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21" customHeight="1">
      <x:c r="C11" s="2" t="str">
        <x:v>Initial work</x:v>
      </x:c>
      <x:c r="D11" s="15" t="n">
        <x:f>SUM('Monthly cash flow'!D32:O32)</x:f>
        <x:v>7780000</x:v>
      </x:c>
      <x:c r="E11" s="15" t="n">
        <x:f>SUM('Monthly cash flow'!P32:AA32)</x:f>
        <x:v>0</x:v>
      </x:c>
      <x:c r="F11" s="15" t="n">
        <x:f>SUM('Monthly cash flow'!D32:AA32)</x:f>
        <x:v>7780000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21" customHeight="1">
      <x:c r="C12" s="2" t="str">
        <x:v>Fixed running costs</x:v>
      </x:c>
      <x:c r="D12" s="15" t="n">
        <x:f>SUM('Monthly cash flow'!D30:O30)</x:f>
        <x:v>2340000</x:v>
      </x:c>
      <x:c r="E12" s="15" t="n">
        <x:f>SUM('Monthly cash flow'!P30:AA30)</x:f>
        <x:v>3120000</x:v>
      </x:c>
      <x:c r="F12" s="15" t="n">
        <x:f>SUM('Monthly cash flow'!D30:AA30)</x:f>
        <x:v>5460000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21" customHeight="1">
      <x:c r="C13" s="2" t="str">
        <x:v>Marketing</x:v>
      </x:c>
      <x:c r="D13" s="15" t="n">
        <x:f>SUM('Monthly cash flow'!D31:O31)</x:f>
        <x:v>1800000</x:v>
      </x:c>
      <x:c r="E13" s="15" t="n">
        <x:f>SUM('Monthly cash flow'!P31:AA31)</x:f>
        <x:v>2400000</x:v>
      </x:c>
      <x:c r="F13" s="15" t="n">
        <x:f>SUM('Monthly cash flow'!D31:AA31)</x:f>
        <x:v>4200000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21" customHeight="1">
      <x:c r="C14" s="2" t="str">
        <x:v>Contingency provision</x:v>
      </x:c>
      <x:c r="D14" s="15" t="n">
        <x:f>SUM('Monthly cash flow'!D33:O33)</x:f>
        <x:v>1518000</x:v>
      </x:c>
      <x:c r="E14" s="15" t="n">
        <x:f>SUM('Monthly cash flow'!P33:AA33)</x:f>
        <x:v>0</x:v>
      </x:c>
      <x:c r="F14" s="15" t="n">
        <x:f>SUM('Monthly cash flow'!D33:AA33)</x:f>
        <x:v>1518000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21" customHeight="1">
      <x:c r="C15" s="24" t="str">
        <x:v>Project fixed cash envelope</x:v>
      </x:c>
      <x:c r="D15" s="27" t="n">
        <x:f>SUM(D11:D14)</x:f>
        <x:v>13438000</x:v>
      </x:c>
      <x:c r="E15" s="27" t="n">
        <x:f>SUM(E11:E14)</x:f>
        <x:v>5520000</x:v>
      </x:c>
      <x:c r="F15" s="27" t="n">
        <x:f>SUM(F11:F14)</x:f>
        <x:v>18958000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21" customHeight="1">
      <x:c r="C16" s="2" t="str">
        <x:v>Tour delivery and variable costs</x:v>
      </x:c>
      <x:c r="D16" s="15" t="n">
        <x:f>D9-D10</x:f>
        <x:v>5860800</x:v>
      </x:c>
      <x:c r="E16" s="15" t="n">
        <x:f>E9-E10</x:f>
        <x:v>48840000</x:v>
      </x:c>
      <x:c r="F16" s="15" t="n">
        <x:f>F9-F10</x:f>
        <x:v>54700800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21" customHeight="1">
      <x:c r="C17" s="24" t="str">
        <x:v>Gross cash uses</x:v>
      </x:c>
      <x:c r="D17" s="27" t="n">
        <x:f>SUM('Monthly cash flow'!D38:O38)</x:f>
        <x:v>19298800</x:v>
      </x:c>
      <x:c r="E17" s="27" t="n">
        <x:f>SUM('Monthly cash flow'!P38:AA38)</x:f>
        <x:v>54360000</x:v>
      </x:c>
      <x:c r="F17" s="27" t="n">
        <x:f>SUM('Monthly cash flow'!D38:AA38)</x:f>
        <x:v>73658800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21" customHeight="1">
      <x:c r="C18" s="24" t="str">
        <x:v>Net incremental project cash flow</x:v>
      </x:c>
      <x:c r="D18" s="27" t="n">
        <x:f>SUM('Monthly cash flow'!D34:O34)</x:f>
        <x:v>-11378800</x:v>
      </x:c>
      <x:c r="E18" s="27" t="n">
        <x:f>SUM('Monthly cash flow'!P34:AA34)</x:f>
        <x:v>11640000</x:v>
      </x:c>
      <x:c r="F18" s="27" t="n">
        <x:f>SUM('Monthly cash flow'!D34:AA34)</x:f>
        <x:v>261200.00000000116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21" customHeight="1">
      <x:c r="C19" s="2" t="str">
        <x:v>Peak funding balance in period</x:v>
      </x:c>
      <x:c r="D19" s="15" t="n">
        <x:f>MAX('Monthly cash flow'!D36:O36)</x:f>
        <x:v>11378800</x:v>
      </x:c>
      <x:c r="E19" s="15" t="n">
        <x:f>MAX('Monthly cash flow'!P36:AA36)</x:f>
        <x:v>11289680</x:v>
      </x:c>
      <x:c r="F19" s="15" t="n">
        <x:f>MAX('Monthly cash flow'!D36:AA36)</x:f>
        <x:v>11378800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21" customHeight="1">
      <x:c r="C20" s="2" t="str">
        <x:v>All foreign travelers (annual)</x:v>
      </x:c>
      <x:c r="D20" s="45" t="n">
        <x:f>Assumptions!$D$23+SUM('Monthly cash flow'!D19:O19)</x:f>
        <x:v>298</x:v>
      </x:c>
      <x:c r="E20" s="45" t="n">
        <x:f>Assumptions!$D$23+SUM('Monthly cash flow'!P19:AA19)</x:f>
        <x:v>1486</x:v>
      </x:c>
      <x:c r="F20" s="46" t="str">
        <x:v>n.a.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21" customHeight="1">
      <x:c r="C21" s="2" t="str">
        <x:v>All domestic travelers (annual)</x:v>
      </x:c>
      <x:c r="D21" s="45" t="n">
        <x:f>Assumptions!$D$22+SUM('Monthly cash flow'!D20:O20)</x:f>
        <x:v>3282</x:v>
      </x:c>
      <x:c r="E21" s="45" t="n">
        <x:f>Assumptions!$D$22+SUM('Monthly cash flow'!P20:AA20)</x:f>
        <x:v>3414</x:v>
      </x:c>
      <x:c r="F21" s="46" t="str">
        <x:v>n.a.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1" customHeight="1">
      <x:c r="C22" s="24" t="str">
        <x:v>Foreign traveler share (annual)</x:v>
      </x:c>
      <x:c r="D22" s="50" t="n">
        <x:f>D20/(D20+D21)</x:f>
        <x:v>0.08324022346368715</x:v>
      </x:c>
      <x:c r="E22" s="50" t="n">
        <x:f>E20/(E20+E21)</x:f>
        <x:v>0.30326530612244895</x:v>
      </x:c>
      <x:c r="F22" s="51" t="str">
        <x:v>n.a.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21" customHeight="1">
      <x:c r="C23" s="2" t="str">
        <x:v>Marketing / new completed traveler</x:v>
      </x:c>
      <x:c r="D23" s="15" t="n">
        <x:f>IF(D8=0,"n.a.",D13/D8)</x:f>
        <x:v>9999.999999999998</x:v>
      </x:c>
      <x:c r="E23" s="15" t="n">
        <x:f>IF(E8=0,"n.a.",E13/E8)</x:f>
        <x:v>1600</x:v>
      </x:c>
      <x:c r="F23" s="15" t="n">
        <x:f>IF(F8=0,"n.a.",F13/F8)</x:f>
        <x:v>2500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21" customHeight="1">
      <x:c r="C24" s="2" t="str">
        <x:v>Peak guide capacity utilization</x:v>
      </x:c>
      <x:c r="D24" s="10" t="n">
        <x:f>MAX('Monthly cash flow'!D46:O46)</x:f>
        <x:v>0.6133333333333333</x:v>
      </x:c>
      <x:c r="E24" s="10" t="n">
        <x:f>MAX('Monthly cash flow'!P46:AA46)</x:f>
        <x:v>0.84</x:v>
      </x:c>
      <x:c r="F24" s="10" t="n">
        <x:f>MAX('Monthly cash flow'!D46:AA46)</x:f>
        <x:v>0.84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21" customHeight="1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21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21" customHeight="1">
      <x:c r="C27" s="2" t="str">
        <x:v>Payback month within 24 months</x:v>
      </x:c>
      <x:c r="D27" s="2" t="n">
        <x:f>IF(MIN('Monthly cash flow'!D37:AA37)=999,"Not reached",MIN('Monthly cash flow'!D37:AA37))</x:f>
        <x:v>23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21" customHeight="1">
      <x:c r="C28" s="2" t="str">
        <x:v>Headroom against strict Y1 gross ceiling</x:v>
      </x:c>
      <x:c r="D28" s="15" t="n">
        <x:f>Assumptions!D26-D17</x:f>
        <x:v>701200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21" customHeight="1">
      <x:c r="C29" s="2" t="str">
        <x:v>Case revenue less travelers x stated price</x:v>
      </x:c>
      <x:c r="D29" s="15" t="n">
        <x:f>Assumptions!D25-Assumptions!D24*Assumptions!D12</x:f>
        <x:v>400000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1" customHeight="1">
      <x:c r="C30" s="2" t="str">
        <x:v>New Y2 travelers required for 30% share</x:v>
      </x:c>
      <x:c r="D30" s="45" t="n">
        <x:f>(Assumptions!D27*Assumptions!D24-Assumptions!D23)/(Assumptions!D16-Assumptions!D27)</x:f>
        <x:v>1473.333333333333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21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21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21" customHeight="1">
      <x:c r="C33" s="2" t="str">
        <x:v>AI-assisted planning draft. Inputs and strategy require substantive team review.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21" customHeight="1">
      <x:c r="C34" s="2" t="str">
        <x:v>The base case depends on an unvalidated 8.33x traffic rise in Year 2.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21" customHeight="1">
      <x:c r="C35" s="2" t="str">
        <x:v>The downside has exactly 30% fewer new travelers and unchanged fixed costs.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 ht="21" customHeight="1">
      <x:c r="C36" s="2" t="str">
        <x:v>Year-two foreign share uses the second year, including the unchanged legacy base.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 ht="21" customHeight="1">
      <x:c r="C37" s="2" t="str">
        <x:v>Gross Y1 cash uses include tour delivery, fees, operating costs and contingency.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 ht="21" customHeight="1">
      <x:c r="C38" s="2" t="str">
        <x:v>No real bookings, secured partnerships, measured conversion uplift or cash savings.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 ht="21" customHeight="1">
      <x:c r="C39" s="2" t="str">
        <x:v>Workbook is interactive. Regenerate canonical JSON/CSV after changing source inputs.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21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 ht="21" customHeight="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 ht="21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 ht="21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 ht="21" customHeight="1"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 ht="21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 ht="21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 ht="21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 ht="21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21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21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21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21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21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21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21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21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21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21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21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21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21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21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21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21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21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21" customHeight="1"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21" customHeight="1"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21" customHeight="1"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21" customHeight="1"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21" customHeight="1"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21" customHeight="1"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21" customHeight="1"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21" customHeight="1"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21" customHeight="1"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21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21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21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</x:sheetData>
  <x:conditionalFormatting sqref="D28:D28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F7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5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21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1" customHeight="1">
      <x:c r="C2" s="3" t="str">
        <x:v>Forecast assumptions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1" customHeight="1"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1" customHeight="1">
      <x:c r="C4" s="2" t="str">
        <x:v>Case selected</x:v>
      </x:c>
      <x:c r="D4" s="7" t="str"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1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21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21" customHeight="1">
      <x:c r="C7" s="2" t="str">
        <x:v>Active completed-traveler multiplier</x:v>
      </x:c>
      <x:c r="D7" s="9" t="n">
        <x:f>IF(D4="Base",D8,IF(D4="Downside",D9,NA()))</x:f>
        <x:v>1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1" customHeight="1">
      <x:c r="C8" s="2" t="str">
        <x:v>Base</x:v>
      </x:c>
      <x:c r="D8" s="16" t="n">
        <x:v>1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21" customHeight="1">
      <x:c r="C9" s="2" t="str">
        <x:v>Downside</x:v>
      </x:c>
      <x:c r="D9" s="16" t="n">
        <x:v>0.7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21" customHeight="1">
      <x:c r="C10" s="2"/>
      <x:c r="D10" s="17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21" customHeight="1">
      <x:c r="C11" s="14" t="str">
        <x:v>Driver</x:v>
      </x:c>
      <x:c r="D11" s="14" t="str">
        <x:v>Value</x:v>
      </x:c>
      <x:c r="E11" s="14" t="str">
        <x:v>Unit</x:v>
      </x:c>
      <x:c r="F11" s="14"/>
      <x:c r="G11" s="14" t="str">
        <x:v>Source or assumption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21" customHeight="1">
      <x:c r="C12" s="2" t="str">
        <x:v>Realized revenue per traveler</x:v>
      </x:c>
      <x:c r="D12" s="20" t="n">
        <x:v>44000</x:v>
      </x:c>
      <x:c r="E12" s="2" t="str">
        <x:v>KZT</x:v>
      </x:c>
      <x:c r="F12" s="2"/>
      <x:c r="G12" s="2" t="str">
        <x:v>Case average; forecast assumption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21" customHeight="1">
      <x:c r="C13" s="2" t="str">
        <x:v>Tour delivery share of revenue</x:v>
      </x:c>
      <x:c r="D13" s="21" t="n">
        <x:v>0.7</x:v>
      </x:c>
      <x:c r="E13" s="2" t="str">
        <x:v>Ratio</x:v>
      </x:c>
      <x:c r="F13" s="2"/>
      <x:c r="G13" s="2" t="str">
        <x:v>Planning estimate; obtain supplier margins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21" customHeight="1">
      <x:c r="C14" s="2" t="str">
        <x:v>Payment fee share of revenue</x:v>
      </x:c>
      <x:c r="D14" s="21" t="n">
        <x:v>0.03</x:v>
      </x:c>
      <x:c r="E14" s="2" t="str">
        <x:v>Ratio</x:v>
      </x:c>
      <x:c r="F14" s="2"/>
      <x:c r="G14" s="2" t="str">
        <x:v>Planning estimate; obtain merchant quote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21" customHeight="1">
      <x:c r="C15" s="2" t="str">
        <x:v>Variable service per traveler</x:v>
      </x:c>
      <x:c r="D15" s="20" t="n">
        <x:v>440</x:v>
      </x:c>
      <x:c r="E15" s="2" t="str">
        <x:v>KZT</x:v>
      </x:c>
      <x:c r="F15" s="2"/>
      <x:c r="G15" s="2" t="str">
        <x:v>Planning estimate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21" customHeight="1">
      <x:c r="C16" s="2" t="str">
        <x:v>Foreign share of new travelers</x:v>
      </x:c>
      <x:c r="D16" s="21" t="n">
        <x:v>0.9</x:v>
      </x:c>
      <x:c r="E16" s="2" t="str">
        <x:v>Ratio</x:v>
      </x:c>
      <x:c r="F16" s="2"/>
      <x:c r="G16" s="2" t="str">
        <x:v>Planning estimate; ambitious target mix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21" customHeight="1">
      <x:c r="C17" s="2" t="str">
        <x:v>Qualified session to inquiry</x:v>
      </x:c>
      <x:c r="D17" s="21" t="n">
        <x:v>0.1</x:v>
      </x:c>
      <x:c r="E17" s="2" t="str">
        <x:v>Ratio</x:v>
      </x:c>
      <x:c r="F17" s="2"/>
      <x:c r="G17" s="2" t="str">
        <x:v>Planning estimate; measure pilot cohorts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21" customHeight="1">
      <x:c r="C18" s="2" t="str">
        <x:v>Inquiry to paid party</x:v>
      </x:c>
      <x:c r="D18" s="21" t="n">
        <x:v>0.15</x:v>
      </x:c>
      <x:c r="E18" s="2" t="str">
        <x:v>Ratio</x:v>
      </x:c>
      <x:c r="F18" s="2"/>
      <x:c r="G18" s="2" t="str">
        <x:v>Planning estimate; measure pilot cohorts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21" customHeight="1">
      <x:c r="C19" s="2" t="str">
        <x:v>Travelers per party</x:v>
      </x:c>
      <x:c r="D19" s="20" t="n">
        <x:v>2</x:v>
      </x:c>
      <x:c r="E19" s="2" t="str">
        <x:v>Travelers</x:v>
      </x:c>
      <x:c r="F19" s="2"/>
      <x:c r="G19" s="2" t="str">
        <x:v>Planning estimate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21" customHeight="1">
      <x:c r="C20" s="2" t="str">
        <x:v>Paid travelers completing travel</x:v>
      </x:c>
      <x:c r="D20" s="21" t="n">
        <x:v>0.8</x:v>
      </x:c>
      <x:c r="E20" s="2" t="str">
        <x:v>Ratio</x:v>
      </x:c>
      <x:c r="F20" s="2"/>
      <x:c r="G20" s="2" t="str">
        <x:v>Planning estimate; no cancelled revenue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21" customHeight="1">
      <x:c r="C21" s="2" t="str">
        <x:v>Paid share of qualified sessions</x:v>
      </x:c>
      <x:c r="D21" s="21" t="n">
        <x:v>0.2</x:v>
      </x:c>
      <x:c r="E21" s="2" t="str">
        <x:v>Ratio</x:v>
      </x:c>
      <x:c r="F21" s="2"/>
      <x:c r="G21" s="2" t="str">
        <x:v>80% earned/direct/referral/partner assumed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1" customHeight="1">
      <x:c r="C22" s="2" t="str">
        <x:v>Annual domestic baseline, approximate</x:v>
      </x:c>
      <x:c r="D22" s="20" t="n">
        <x:v>3264</x:v>
      </x:c>
      <x:c r="E22" s="2" t="str">
        <x:v>Travelers</x:v>
      </x:c>
      <x:c r="F22" s="2"/>
      <x:c r="G22" s="2" t="str">
        <x:v>3,400 x approximately 96%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21" customHeight="1">
      <x:c r="C23" s="2" t="str">
        <x:v>Annual foreign baseline, approximate</x:v>
      </x:c>
      <x:c r="D23" s="20" t="n">
        <x:v>136</x:v>
      </x:c>
      <x:c r="E23" s="2" t="str">
        <x:v>Travelers</x:v>
      </x:c>
      <x:c r="F23" s="2"/>
      <x:c r="G23" s="2" t="str">
        <x:v>3,400 x approximately 4%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21" customHeight="1">
      <x:c r="C24" s="2" t="str">
        <x:v>2025 travelers, case fact</x:v>
      </x:c>
      <x:c r="D24" s="20" t="n">
        <x:v>3400</x:v>
      </x:c>
      <x:c r="E24" s="2" t="str">
        <x:v>Travelers</x:v>
      </x:c>
      <x:c r="F24" s="2"/>
      <x:c r="G24" s="2" t="str">
        <x:v>Supplied case PDF, pages 1–2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21" customHeight="1">
      <x:c r="C25" s="2" t="str">
        <x:v>2025 revenue, case fact</x:v>
      </x:c>
      <x:c r="D25" s="20" t="n">
        <x:v>150000000</x:v>
      </x:c>
      <x:c r="E25" s="2" t="str">
        <x:v>KZT</x:v>
      </x:c>
      <x:c r="F25" s="2"/>
      <x:c r="G25" s="2" t="str">
        <x:v>Supplied case PDF, pages 1–2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21" customHeight="1">
      <x:c r="C26" s="2" t="str">
        <x:v>First-year ceiling, case fact</x:v>
      </x:c>
      <x:c r="D26" s="20" t="n">
        <x:v>20000000</x:v>
      </x:c>
      <x:c r="E26" s="2" t="str">
        <x:v>KZT</x:v>
      </x:c>
      <x:c r="F26" s="2"/>
      <x:c r="G26" s="2" t="str">
        <x:v>Case: development and launch; stricter test here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21" customHeight="1">
      <x:c r="C27" s="2" t="str">
        <x:v>Year-two foreign share goal</x:v>
      </x:c>
      <x:c r="D27" s="21" t="n">
        <x:v>0.3</x:v>
      </x:c>
      <x:c r="E27" s="2" t="str">
        <x:v>Ratio</x:v>
      </x:c>
      <x:c r="F27" s="2"/>
      <x:c r="G27" s="2" t="str">
        <x:v>30% of total year-two travelers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21" customHeight="1">
      <x:c r="C28" s="2" t="str">
        <x:v>Seats per incremental departure</x:v>
      </x:c>
      <x:c r="D28" s="20" t="n">
        <x:v>12</x:v>
      </x:c>
      <x:c r="E28" s="2" t="str">
        <x:v>Seats</x:v>
      </x:c>
      <x:c r="F28" s="2"/>
      <x:c r="G28" s="2" t="str">
        <x:v>Planning estimate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21" customHeight="1">
      <x:c r="C29" s="2" t="str">
        <x:v>Guide days per departure with buffer</x:v>
      </x:c>
      <x:c r="D29" s="20" t="n">
        <x:v>4</x:v>
      </x:c>
      <x:c r="E29" s="2" t="str">
        <x:v>Days</x:v>
      </x:c>
      <x:c r="F29" s="2"/>
      <x:c r="G29" s="2" t="str">
        <x:v>Planning estimate; average tour plus buffer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1" customHeight="1">
      <x:c r="C30" s="2" t="str">
        <x:v>Freelance guide pool, approximate</x:v>
      </x:c>
      <x:c r="D30" s="20" t="n">
        <x:v>25</x:v>
      </x:c>
      <x:c r="E30" s="2" t="str">
        <x:v>Guides</x:v>
      </x:c>
      <x:c r="F30" s="2"/>
      <x:c r="G30" s="2" t="str">
        <x:v>Case about 25; no availability commitment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21" customHeight="1">
      <x:c r="C31" s="2" t="str">
        <x:v>Available days per guide each month</x:v>
      </x:c>
      <x:c r="D31" s="20" t="n">
        <x:v>12</x:v>
      </x:c>
      <x:c r="E31" s="2" t="str">
        <x:v>Days</x:v>
      </x:c>
      <x:c r="F31" s="2"/>
      <x:c r="G31" s="2" t="str">
        <x:v>Planning estimate; locations/languages untested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21" customHeight="1">
      <x:c r="C32" s="2" t="str">
        <x:v>Contingency on initial work and Y1 run</x:v>
      </x:c>
      <x:c r="D32" s="21" t="n">
        <x:v>0.15</x:v>
      </x:c>
      <x:c r="E32" s="2" t="str">
        <x:v>Ratio</x:v>
      </x:c>
      <x:c r="F32" s="2"/>
      <x:c r="G32" s="2" t="str">
        <x:v>Full reserve treated as spent in Month 3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21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21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21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 ht="21" customHeight="1">
      <x:c r="C36" s="14" t="str">
        <x:v>Initial paid work</x:v>
      </x:c>
      <x:c r="D36" s="14" t="str">
        <x:v>Hours</x:v>
      </x:c>
      <x:c r="E36" s="14" t="str">
        <x:v>KZT / hour</x:v>
      </x:c>
      <x:c r="F36" s="14" t="str">
        <x:v>Cash cost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 ht="21" customHeight="1">
      <x:c r="C37" s="2" t="str">
        <x:v>Research and journey design</x:v>
      </x:c>
      <x:c r="D37" s="17" t="n">
        <x:v>80</x:v>
      </x:c>
      <x:c r="E37" s="19" t="n">
        <x:v>7000</x:v>
      </x:c>
      <x:c r="F37" s="26" t="n">
        <x:f>D37*E37</x:f>
        <x:v>560000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 ht="21" customHeight="1">
      <x:c r="C38" s="2" t="str">
        <x:v>Product and interface design</x:v>
      </x:c>
      <x:c r="D38" s="17" t="n">
        <x:v>100</x:v>
      </x:c>
      <x:c r="E38" s="19" t="n">
        <x:v>8000</x:v>
      </x:c>
      <x:c r="F38" s="26" t="n">
        <x:f>D38*E38</x:f>
        <x:v>800000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 ht="21" customHeight="1">
      <x:c r="C39" s="2" t="str">
        <x:v>Application engineering</x:v>
      </x:c>
      <x:c r="D39" s="17" t="n">
        <x:v>480</x:v>
      </x:c>
      <x:c r="E39" s="19" t="n">
        <x:v>9000</x:v>
      </x:c>
      <x:c r="F39" s="26" t="n">
        <x:f>D39*E39</x:f>
        <x:v>4320000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21" customHeight="1">
      <x:c r="C40" s="2" t="str">
        <x:v>QA, accessibility and security review</x:v>
      </x:c>
      <x:c r="D40" s="17" t="n">
        <x:v>120</x:v>
      </x:c>
      <x:c r="E40" s="19" t="n">
        <x:v>7000</x:v>
      </x:c>
      <x:c r="F40" s="26" t="n">
        <x:f>D40*E40</x:f>
        <x:v>840000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 ht="21" customHeight="1">
      <x:c r="C41" s="2" t="str">
        <x:v>Approved content and translation</x:v>
      </x:c>
      <x:c r="D41" s="17" t="n">
        <x:v>80</x:v>
      </x:c>
      <x:c r="E41" s="19" t="n">
        <x:v>6000</x:v>
      </x:c>
      <x:c r="F41" s="26" t="n">
        <x:f>D41*E41</x:f>
        <x:v>480000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 ht="21" customHeight="1">
      <x:c r="C42" s="2" t="str">
        <x:v>Operator training and launch</x:v>
      </x:c>
      <x:c r="D42" s="17" t="n">
        <x:v>40</x:v>
      </x:c>
      <x:c r="E42" s="19" t="n">
        <x:v>6000</x:v>
      </x:c>
      <x:c r="F42" s="26" t="n">
        <x:f>D42*E42</x:f>
        <x:v>240000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 ht="21" customHeight="1">
      <x:c r="C43" s="2" t="str">
        <x:v>Production payment integration allowance</x:v>
      </x:c>
      <x:c r="D43" s="17" t="n">
        <x:v>60</x:v>
      </x:c>
      <x:c r="E43" s="19" t="n">
        <x:v>9000</x:v>
      </x:c>
      <x:c r="F43" s="26" t="n">
        <x:f>D43*E43</x:f>
        <x:v>540000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 ht="21" customHeight="1">
      <x:c r="C44" s="24" t="str">
        <x:v>Total initial work</x:v>
      </x:c>
      <x:c r="D44" s="25" t="n">
        <x:f>SUM(D37:D43)</x:f>
        <x:v>960</x:v>
      </x:c>
      <x:c r="E44" s="27"/>
      <x:c r="F44" s="28" t="n">
        <x:f>SUM(F37:F43)</x:f>
        <x:v>7780000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 ht="21" customHeight="1"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 ht="21" customHeight="1"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 ht="21" customHeight="1">
      <x:c r="C47" s="14" t="str">
        <x:v>Monthly running from Month 4</x:v>
      </x:c>
      <x:c r="D47" s="14" t="str">
        <x:v>Units / hours</x:v>
      </x:c>
      <x:c r="E47" s="14" t="str">
        <x:v>KZT / unit</x:v>
      </x:c>
      <x:c r="F47" s="14" t="str">
        <x:v>Monthly cost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 ht="21" customHeight="1">
      <x:c r="C48" s="2" t="str">
        <x:v>Hosting and monitoring allowance</x:v>
      </x:c>
      <x:c r="D48" s="17" t="n">
        <x:v>1</x:v>
      </x:c>
      <x:c r="E48" s="19" t="n">
        <x:v>35000</x:v>
      </x:c>
      <x:c r="F48" s="26" t="n">
        <x:f>D48*E48</x:f>
        <x:v>35000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21" customHeight="1">
      <x:c r="C49" s="2" t="str">
        <x:v>AI usage allowance</x:v>
      </x:c>
      <x:c r="D49" s="17" t="n">
        <x:v>1</x:v>
      </x:c>
      <x:c r="E49" s="19" t="n">
        <x:v>15000</x:v>
      </x:c>
      <x:c r="F49" s="26" t="n">
        <x:f>D49*E49</x:f>
        <x:v>15000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21" customHeight="1">
      <x:c r="C50" s="2" t="str">
        <x:v>Maintenance</x:v>
      </x:c>
      <x:c r="D50" s="17" t="n">
        <x:v>10</x:v>
      </x:c>
      <x:c r="E50" s="19" t="n">
        <x:v>9000</x:v>
      </x:c>
      <x:c r="F50" s="26" t="n">
        <x:f>D50*E50</x:f>
        <x:v>90000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21" customHeight="1">
      <x:c r="C51" s="2" t="str">
        <x:v>Customer support</x:v>
      </x:c>
      <x:c r="D51" s="17" t="n">
        <x:v>15</x:v>
      </x:c>
      <x:c r="E51" s="19" t="n">
        <x:v>6000</x:v>
      </x:c>
      <x:c r="F51" s="26" t="n">
        <x:f>D51*E51</x:f>
        <x:v>90000</x:v>
      </x:c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21" customHeight="1">
      <x:c r="C52" s="2" t="str">
        <x:v>Content maintenance</x:v>
      </x:c>
      <x:c r="D52" s="17" t="n">
        <x:v>5</x:v>
      </x:c>
      <x:c r="E52" s="19" t="n">
        <x:v>6000</x:v>
      </x:c>
      <x:c r="F52" s="26" t="n">
        <x:f>D52*E52</x:f>
        <x:v>30000</x:v>
      </x:c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21" customHeight="1">
      <x:c r="C53" s="24" t="str">
        <x:v>Total monthly running</x:v>
      </x:c>
      <x:c r="D53" s="24"/>
      <x:c r="E53" s="27"/>
      <x:c r="F53" s="28" t="n">
        <x:f>SUM(F48:F52)</x:f>
        <x:v>260000</x:v>
      </x:c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21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21" customHeight="1">
      <x:c r="C55" s="2" t="str">
        <x:v>Monthly marketing from Month 4</x:v>
      </x:c>
      <x:c r="D55" s="19" t="n">
        <x:v>200000</x:v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21" customHeight="1">
      <x:c r="C56" s="2"/>
      <x:c r="D56" s="15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C57" s="2" t="str">
        <x:v>Contingency cash provision</x:v>
      </x:c>
      <x:c r="D57" s="26" t="n">
        <x:f>(F44+F53*SUM(H61:H72))*D32</x:f>
        <x:v>1518000</x:v>
      </x:c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21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21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21" customHeight="1">
      <x:c r="C60" s="14" t="str">
        <x:v>Period</x:v>
      </x:c>
      <x:c r="D60" s="14" t="str">
        <x:v>Qualified sessions</x:v>
      </x:c>
      <x:c r="E60" s="14" t="str">
        <x:v>New departures</x:v>
      </x:c>
      <x:c r="F60" s="14" t="str">
        <x:v>Legacy seasonality</x:v>
      </x:c>
      <x:c r="G60" s="14" t="str">
        <x:v>Initial cash weight</x:v>
      </x:c>
      <x:c r="H60" s="14" t="str">
        <x:v>Running active</x:v>
      </x:c>
      <x:c r="I60" s="14" t="str">
        <x:v>Marketing KZT</x:v>
      </x:c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21" customHeight="1">
      <x:c r="C61" s="29" t="d">
        <x:v>2027-01-01T00:00:00.000Z</x:v>
      </x:c>
      <x:c r="D61" s="17" t="n">
        <x:v>0</x:v>
      </x:c>
      <x:c r="E61" s="17" t="n">
        <x:v>0</x:v>
      </x:c>
      <x:c r="F61" s="16" t="n">
        <x:v>0.03</x:v>
      </x:c>
      <x:c r="G61" s="16" t="n">
        <x:v>0.3</x:v>
      </x:c>
      <x:c r="H61" s="17" t="n">
        <x:v>0</x:v>
      </x:c>
      <x:c r="I61" s="26" t="n">
        <x:f>$D$55*H61</x:f>
        <x:v>0</x:v>
      </x:c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21" customHeight="1">
      <x:c r="C62" s="29" t="d">
        <x:v>2027-02-01T00:00:00.000Z</x:v>
      </x:c>
      <x:c r="D62" s="17" t="n">
        <x:v>0</x:v>
      </x:c>
      <x:c r="E62" s="17" t="n">
        <x:v>0</x:v>
      </x:c>
      <x:c r="F62" s="16" t="n">
        <x:v>0.03</x:v>
      </x:c>
      <x:c r="G62" s="16" t="n">
        <x:v>0.4</x:v>
      </x:c>
      <x:c r="H62" s="17" t="n">
        <x:v>0</x:v>
      </x:c>
      <x:c r="I62" s="26" t="n">
        <x:f>$D$55*H62</x:f>
        <x:v>0</x:v>
      </x:c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21" customHeight="1">
      <x:c r="C63" s="29" t="d">
        <x:v>2027-03-01T00:00:00.000Z</x:v>
      </x:c>
      <x:c r="D63" s="17" t="n">
        <x:v>0</x:v>
      </x:c>
      <x:c r="E63" s="17" t="n">
        <x:v>0</x:v>
      </x:c>
      <x:c r="F63" s="16" t="n">
        <x:v>0.04</x:v>
      </x:c>
      <x:c r="G63" s="16" t="n">
        <x:v>0.3</x:v>
      </x:c>
      <x:c r="H63" s="17" t="n">
        <x:v>0</x:v>
      </x:c>
      <x:c r="I63" s="26" t="n">
        <x:f>$D$55*H63</x:f>
        <x:v>0</x:v>
      </x:c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21" customHeight="1">
      <x:c r="C64" s="29" t="d">
        <x:v>2027-04-01T00:00:00.000Z</x:v>
      </x:c>
      <x:c r="D64" s="17" t="n">
        <x:v>360</x:v>
      </x:c>
      <x:c r="E64" s="17" t="n">
        <x:v>2</x:v>
      </x:c>
      <x:c r="F64" s="16" t="n">
        <x:v>0.07</x:v>
      </x:c>
      <x:c r="G64" s="16" t="n">
        <x:v>0</x:v>
      </x:c>
      <x:c r="H64" s="17" t="n">
        <x:v>1</x:v>
      </x:c>
      <x:c r="I64" s="26" t="n">
        <x:f>$D$55*H64</x:f>
        <x:v>200000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21" customHeight="1">
      <x:c r="C65" s="29" t="d">
        <x:v>2027-05-01T00:00:00.000Z</x:v>
      </x:c>
      <x:c r="D65" s="17" t="n">
        <x:v>600</x:v>
      </x:c>
      <x:c r="E65" s="17" t="n">
        <x:v>2</x:v>
      </x:c>
      <x:c r="F65" s="16" t="n">
        <x:v>0.1</x:v>
      </x:c>
      <x:c r="G65" s="16" t="n">
        <x:v>0</x:v>
      </x:c>
      <x:c r="H65" s="17" t="n">
        <x:v>1</x:v>
      </x:c>
      <x:c r="I65" s="26" t="n">
        <x:f>$D$55*H65</x:f>
        <x:v>200000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21" customHeight="1">
      <x:c r="C66" s="29" t="d">
        <x:v>2027-06-01T00:00:00.000Z</x:v>
      </x:c>
      <x:c r="D66" s="17" t="n">
        <x:v>1050</x:v>
      </x:c>
      <x:c r="E66" s="17" t="n">
        <x:v>3</x:v>
      </x:c>
      <x:c r="F66" s="16" t="n">
        <x:v>0.12</x:v>
      </x:c>
      <x:c r="G66" s="16" t="n">
        <x:v>0</x:v>
      </x:c>
      <x:c r="H66" s="17" t="n">
        <x:v>1</x:v>
      </x:c>
      <x:c r="I66" s="26" t="n">
        <x:f>$D$55*H66</x:f>
        <x:v>200000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21" customHeight="1">
      <x:c r="C67" s="29" t="d">
        <x:v>2027-07-01T00:00:00.000Z</x:v>
      </x:c>
      <x:c r="D67" s="17" t="n">
        <x:v>1260</x:v>
      </x:c>
      <x:c r="E67" s="17" t="n">
        <x:v>4</x:v>
      </x:c>
      <x:c r="F67" s="16" t="n">
        <x:v>0.15</x:v>
      </x:c>
      <x:c r="G67" s="16" t="n">
        <x:v>0</x:v>
      </x:c>
      <x:c r="H67" s="17" t="n">
        <x:v>1</x:v>
      </x:c>
      <x:c r="I67" s="26" t="n">
        <x:f>$D$55*H67</x:f>
        <x:v>200000</x:v>
      </x:c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21" customHeight="1">
      <x:c r="C68" s="29" t="d">
        <x:v>2027-08-01T00:00:00.000Z</x:v>
      </x:c>
      <x:c r="D68" s="17" t="n">
        <x:v>1350</x:v>
      </x:c>
      <x:c r="E68" s="17" t="n">
        <x:v>4</x:v>
      </x:c>
      <x:c r="F68" s="16" t="n">
        <x:v>0.15</x:v>
      </x:c>
      <x:c r="G68" s="16" t="n">
        <x:v>0</x:v>
      </x:c>
      <x:c r="H68" s="17" t="n">
        <x:v>1</x:v>
      </x:c>
      <x:c r="I68" s="26" t="n">
        <x:f>$D$55*H68</x:f>
        <x:v>200000</x:v>
      </x:c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21" customHeight="1">
      <x:c r="C69" s="29" t="d">
        <x:v>2027-09-01T00:00:00.000Z</x:v>
      </x:c>
      <x:c r="D69" s="17" t="n">
        <x:v>1080</x:v>
      </x:c>
      <x:c r="E69" s="17" t="n">
        <x:v>3</x:v>
      </x:c>
      <x:c r="F69" s="16" t="n">
        <x:v>0.12</x:v>
      </x:c>
      <x:c r="G69" s="16" t="n">
        <x:v>0</x:v>
      </x:c>
      <x:c r="H69" s="17" t="n">
        <x:v>1</x:v>
      </x:c>
      <x:c r="I69" s="26" t="n">
        <x:f>$D$55*H69</x:f>
        <x:v>200000</x:v>
      </x:c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C70" s="29" t="d">
        <x:v>2027-10-01T00:00:00.000Z</x:v>
      </x:c>
      <x:c r="D70" s="17" t="n">
        <x:v>750</x:v>
      </x:c>
      <x:c r="E70" s="17" t="n">
        <x:v>2</x:v>
      </x:c>
      <x:c r="F70" s="16" t="n">
        <x:v>0.08</x:v>
      </x:c>
      <x:c r="G70" s="16" t="n">
        <x:v>0</x:v>
      </x:c>
      <x:c r="H70" s="17" t="n">
        <x:v>1</x:v>
      </x:c>
      <x:c r="I70" s="26" t="n">
        <x:f>$D$55*H70</x:f>
        <x:v>200000</x:v>
      </x:c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21" customHeight="1">
      <x:c r="C71" s="29" t="d">
        <x:v>2027-11-01T00:00:00.000Z</x:v>
      </x:c>
      <x:c r="D71" s="17" t="n">
        <x:v>600</x:v>
      </x:c>
      <x:c r="E71" s="17" t="n">
        <x:v>2</x:v>
      </x:c>
      <x:c r="F71" s="16" t="n">
        <x:v>0.06</x:v>
      </x:c>
      <x:c r="G71" s="16" t="n">
        <x:v>0</x:v>
      </x:c>
      <x:c r="H71" s="17" t="n">
        <x:v>1</x:v>
      </x:c>
      <x:c r="I71" s="26" t="n">
        <x:f>$D$55*H71</x:f>
        <x:v>200000</x:v>
      </x:c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21" customHeight="1">
      <x:c r="C72" s="29" t="d">
        <x:v>2027-12-01T00:00:00.000Z</x:v>
      </x:c>
      <x:c r="D72" s="17" t="n">
        <x:v>450</x:v>
      </x:c>
      <x:c r="E72" s="17" t="n">
        <x:v>2</x:v>
      </x:c>
      <x:c r="F72" s="16" t="n">
        <x:v>0.05</x:v>
      </x:c>
      <x:c r="G72" s="16" t="n">
        <x:v>0</x:v>
      </x:c>
      <x:c r="H72" s="17" t="n">
        <x:v>1</x:v>
      </x:c>
      <x:c r="I72" s="26" t="n">
        <x:f>$D$55*H72</x:f>
        <x:v>200000</x:v>
      </x:c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21" customHeight="1">
      <x:c r="C73" s="29" t="d">
        <x:v>2028-01-01T00:00:00.000Z</x:v>
      </x:c>
      <x:c r="D73" s="17" t="n">
        <x:v>2000</x:v>
      </x:c>
      <x:c r="E73" s="17" t="n">
        <x:v>5</x:v>
      </x:c>
      <x:c r="F73" s="16" t="n">
        <x:v>0.03</x:v>
      </x:c>
      <x:c r="G73" s="16" t="n">
        <x:v>0</x:v>
      </x:c>
      <x:c r="H73" s="17" t="n">
        <x:v>1</x:v>
      </x:c>
      <x:c r="I73" s="26" t="n">
        <x:f>$D$55*H73</x:f>
        <x:v>200000</x:v>
      </x:c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21" customHeight="1">
      <x:c r="C74" s="29" t="d">
        <x:v>2028-02-01T00:00:00.000Z</x:v>
      </x:c>
      <x:c r="D74" s="17" t="n">
        <x:v>2000</x:v>
      </x:c>
      <x:c r="E74" s="17" t="n">
        <x:v>5</x:v>
      </x:c>
      <x:c r="F74" s="16" t="n">
        <x:v>0.03</x:v>
      </x:c>
      <x:c r="G74" s="16" t="n">
        <x:v>0</x:v>
      </x:c>
      <x:c r="H74" s="17" t="n">
        <x:v>1</x:v>
      </x:c>
      <x:c r="I74" s="26" t="n">
        <x:f>$D$55*H74</x:f>
        <x:v>200000</x:v>
      </x:c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21" customHeight="1">
      <x:c r="C75" s="29" t="d">
        <x:v>2028-03-01T00:00:00.000Z</x:v>
      </x:c>
      <x:c r="D75" s="17" t="n">
        <x:v>3000</x:v>
      </x:c>
      <x:c r="E75" s="17" t="n">
        <x:v>6</x:v>
      </x:c>
      <x:c r="F75" s="16" t="n">
        <x:v>0.04</x:v>
      </x:c>
      <x:c r="G75" s="16" t="n">
        <x:v>0</x:v>
      </x:c>
      <x:c r="H75" s="17" t="n">
        <x:v>1</x:v>
      </x:c>
      <x:c r="I75" s="26" t="n">
        <x:f>$D$55*H75</x:f>
        <x:v>200000</x:v>
      </x:c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21" customHeight="1">
      <x:c r="C76" s="29" t="d">
        <x:v>2028-04-01T00:00:00.000Z</x:v>
      </x:c>
      <x:c r="D76" s="17" t="n">
        <x:v>4000</x:v>
      </x:c>
      <x:c r="E76" s="17" t="n">
        <x:v>10</x:v>
      </x:c>
      <x:c r="F76" s="16" t="n">
        <x:v>0.07</x:v>
      </x:c>
      <x:c r="G76" s="16" t="n">
        <x:v>0</x:v>
      </x:c>
      <x:c r="H76" s="17" t="n">
        <x:v>1</x:v>
      </x:c>
      <x:c r="I76" s="26" t="n">
        <x:f>$D$55*H76</x:f>
        <x:v>200000</x:v>
      </x:c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21" customHeight="1">
      <x:c r="C77" s="29" t="d">
        <x:v>2028-05-01T00:00:00.000Z</x:v>
      </x:c>
      <x:c r="D77" s="17" t="n">
        <x:v>6000</x:v>
      </x:c>
      <x:c r="E77" s="17" t="n">
        <x:v>14</x:v>
      </x:c>
      <x:c r="F77" s="16" t="n">
        <x:v>0.1</x:v>
      </x:c>
      <x:c r="G77" s="16" t="n">
        <x:v>0</x:v>
      </x:c>
      <x:c r="H77" s="17" t="n">
        <x:v>1</x:v>
      </x:c>
      <x:c r="I77" s="26" t="n">
        <x:f>$D$55*H77</x:f>
        <x:v>200000</x:v>
      </x:c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21" customHeight="1">
      <x:c r="C78" s="29" t="d">
        <x:v>2028-06-01T00:00:00.000Z</x:v>
      </x:c>
      <x:c r="D78" s="17" t="n">
        <x:v>9000</x:v>
      </x:c>
      <x:c r="E78" s="17" t="n">
        <x:v>20</x:v>
      </x:c>
      <x:c r="F78" s="16" t="n">
        <x:v>0.12</x:v>
      </x:c>
      <x:c r="G78" s="16" t="n">
        <x:v>0</x:v>
      </x:c>
      <x:c r="H78" s="17" t="n">
        <x:v>1</x:v>
      </x:c>
      <x:c r="I78" s="26" t="n">
        <x:f>$D$55*H78</x:f>
        <x:v>200000</x:v>
      </x:c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21" customHeight="1">
      <x:c r="C79" s="29" t="d">
        <x:v>2028-07-01T00:00:00.000Z</x:v>
      </x:c>
      <x:c r="D79" s="17" t="n">
        <x:v>10000</x:v>
      </x:c>
      <x:c r="E79" s="17" t="n">
        <x:v>22</x:v>
      </x:c>
      <x:c r="F79" s="16" t="n">
        <x:v>0.15</x:v>
      </x:c>
      <x:c r="G79" s="16" t="n">
        <x:v>0</x:v>
      </x:c>
      <x:c r="H79" s="17" t="n">
        <x:v>1</x:v>
      </x:c>
      <x:c r="I79" s="26" t="n">
        <x:f>$D$55*H79</x:f>
        <x:v>200000</x:v>
      </x:c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C80" s="29" t="d">
        <x:v>2028-08-01T00:00:00.000Z</x:v>
      </x:c>
      <x:c r="D80" s="17" t="n">
        <x:v>9000</x:v>
      </x:c>
      <x:c r="E80" s="17" t="n">
        <x:v>22</x:v>
      </x:c>
      <x:c r="F80" s="16" t="n">
        <x:v>0.15</x:v>
      </x:c>
      <x:c r="G80" s="16" t="n">
        <x:v>0</x:v>
      </x:c>
      <x:c r="H80" s="17" t="n">
        <x:v>1</x:v>
      </x:c>
      <x:c r="I80" s="26" t="n">
        <x:f>$D$55*H80</x:f>
        <x:v>200000</x:v>
      </x:c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C81" s="29" t="d">
        <x:v>2028-09-01T00:00:00.000Z</x:v>
      </x:c>
      <x:c r="D81" s="17" t="n">
        <x:v>7000</x:v>
      </x:c>
      <x:c r="E81" s="17" t="n">
        <x:v>18</x:v>
      </x:c>
      <x:c r="F81" s="16" t="n">
        <x:v>0.12</x:v>
      </x:c>
      <x:c r="G81" s="16" t="n">
        <x:v>0</x:v>
      </x:c>
      <x:c r="H81" s="17" t="n">
        <x:v>1</x:v>
      </x:c>
      <x:c r="I81" s="26" t="n">
        <x:f>$D$55*H81</x:f>
        <x:v>200000</x:v>
      </x:c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C82" s="29" t="d">
        <x:v>2028-10-01T00:00:00.000Z</x:v>
      </x:c>
      <x:c r="D82" s="17" t="n">
        <x:v>4500</x:v>
      </x:c>
      <x:c r="E82" s="17" t="n">
        <x:v>12</x:v>
      </x:c>
      <x:c r="F82" s="16" t="n">
        <x:v>0.08</x:v>
      </x:c>
      <x:c r="G82" s="16" t="n">
        <x:v>0</x:v>
      </x:c>
      <x:c r="H82" s="17" t="n">
        <x:v>1</x:v>
      </x:c>
      <x:c r="I82" s="26" t="n">
        <x:f>$D$55*H82</x:f>
        <x:v>200000</x:v>
      </x:c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C83" s="29" t="d">
        <x:v>2028-11-01T00:00:00.000Z</x:v>
      </x:c>
      <x:c r="D83" s="17" t="n">
        <x:v>3500</x:v>
      </x:c>
      <x:c r="E83" s="17" t="n">
        <x:v>10</x:v>
      </x:c>
      <x:c r="F83" s="16" t="n">
        <x:v>0.06</x:v>
      </x:c>
      <x:c r="G83" s="16" t="n">
        <x:v>0</x:v>
      </x:c>
      <x:c r="H83" s="17" t="n">
        <x:v>1</x:v>
      </x:c>
      <x:c r="I83" s="26" t="n">
        <x:f>$D$55*H83</x:f>
        <x:v>200000</x:v>
      </x:c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C84" s="29" t="d">
        <x:v>2028-12-01T00:00:00.000Z</x:v>
      </x:c>
      <x:c r="D84" s="17" t="n">
        <x:v>2500</x:v>
      </x:c>
      <x:c r="E84" s="17" t="n">
        <x:v>8</x:v>
      </x:c>
      <x:c r="F84" s="16" t="n">
        <x:v>0.05</x:v>
      </x:c>
      <x:c r="G84" s="16" t="n">
        <x:v>0</x:v>
      </x:c>
      <x:c r="H84" s="17" t="n">
        <x:v>1</x:v>
      </x:c>
      <x:c r="I84" s="26" t="n">
        <x:f>$D$55*H84</x:f>
        <x:v>200000</x:v>
      </x:c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C87" s="22" t="str">
        <x:v>Interpretation and limitations</x:v>
      </x:c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C88" s="2" t="str">
        <x:v>All costs and demand drivers are estimates requiring operator validation.</x:v>
      </x:c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C89" s="2" t="str">
        <x:v>Case source: Zertex_Case1_Technology_Product.pdf, pages 1–2.</x:v>
      </x:c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C90" s="2" t="str">
        <x:v>Initial fees assume 960 paid hours over approximately 12 weeks.</x:v>
      </x:c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C91" s="2" t="str">
        <x:v>The full contingency provision is conservatively spent in Month 3.</x:v>
      </x:c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C92" s="2" t="str">
        <x:v>Revenue and variable costs settle in the travel month. No payment float is used.</x:v>
      </x:c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C93" s="2" t="str">
        <x:v>No cash savings, tax benefits, debt or legacy online migration revenue are counted.</x:v>
      </x:c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C94" s="2" t="str">
        <x:v>Year 2 sessions grow 8.33 times. Earned and partner traffic is not contracted.</x:v>
      </x:c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C95" s="2" t="str">
        <x:v>Scale depends on measured conversion, margin, acquisition cost and guide capacity.</x:v>
      </x:c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C96" s="2" t="str">
        <x:v>Fractional traveler counts are expected values, not literal reservations.</x:v>
      </x:c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C97" s="2" t="str">
        <x:v>The downside changes completed travelers only. Fixed costs remain unchanged.</x:v>
      </x:c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C98" s="2" t="str">
        <x:v>Foreign share is annual, using the approximately 3,264 domestic and 136 foreign base.</x:v>
      </x:c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C99" s="2" t="str">
        <x:v>The model uses the 44,000 KZT case price. Prototype tour prices are synthetic.</x:v>
      </x:c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C100" s="2" t="str">
        <x:v>Edit canonical inputs.json and regenerate report outputs to keep all formats aligned.</x:v>
      </x:c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</x:sheetData>
  <x:dataValidations count="1">
    <x:dataValidation type="list" sqref="D4">
      <x:formula1>"Base,Downside"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21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1" customHeight="1">
      <x:c r="C2" s="3" t="str">
        <x:v>Monthly incremental cash flow (KZT)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1" customHeight="1"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1" customHeight="1">
      <x:c r="C4" s="2" t="str">
        <x:v>Case selected</x:v>
      </x:c>
      <x:c r="D4" s="7" t="str">
        <x:f>Assumptions!D4</x:f>
        <x:v>Base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1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21" customHeight="1"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21" customHeight="1"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1" customHeight="1">
      <x:c r="C8" s="14" t="str">
        <x:v>Period</x:v>
      </x:c>
      <x:c r="D8" s="35" t="n">
        <x:f>Assumptions!C61</x:f>
        <x:v>46388</x:v>
      </x:c>
      <x:c r="E8" s="35" t="n">
        <x:f>Assumptions!C62</x:f>
        <x:v>46419</x:v>
      </x:c>
      <x:c r="F8" s="35" t="n">
        <x:f>Assumptions!C63</x:f>
        <x:v>46447</x:v>
      </x:c>
      <x:c r="G8" s="35" t="n">
        <x:f>Assumptions!C64</x:f>
        <x:v>46478</x:v>
      </x:c>
      <x:c r="H8" s="35" t="n">
        <x:f>Assumptions!C65</x:f>
        <x:v>46508</x:v>
      </x:c>
      <x:c r="I8" s="35" t="n">
        <x:f>Assumptions!C66</x:f>
        <x:v>46539</x:v>
      </x:c>
      <x:c r="J8" s="35" t="n">
        <x:f>Assumptions!C67</x:f>
        <x:v>46569</x:v>
      </x:c>
      <x:c r="K8" s="35" t="n">
        <x:f>Assumptions!C68</x:f>
        <x:v>46600</x:v>
      </x:c>
      <x:c r="L8" s="35" t="n">
        <x:f>Assumptions!C69</x:f>
        <x:v>46631</x:v>
      </x:c>
      <x:c r="M8" s="35" t="n">
        <x:f>Assumptions!C70</x:f>
        <x:v>46661</x:v>
      </x:c>
      <x:c r="N8" s="35" t="n">
        <x:f>Assumptions!C71</x:f>
        <x:v>46692</x:v>
      </x:c>
      <x:c r="O8" s="35" t="n">
        <x:f>Assumptions!C72</x:f>
        <x:v>46722</x:v>
      </x:c>
      <x:c r="P8" s="35" t="n">
        <x:f>Assumptions!C73</x:f>
        <x:v>46753</x:v>
      </x:c>
      <x:c r="Q8" s="35" t="n">
        <x:f>Assumptions!C74</x:f>
        <x:v>46784</x:v>
      </x:c>
      <x:c r="R8" s="35" t="n">
        <x:f>Assumptions!C75</x:f>
        <x:v>46813</x:v>
      </x:c>
      <x:c r="S8" s="35" t="n">
        <x:f>Assumptions!C76</x:f>
        <x:v>46844</x:v>
      </x:c>
      <x:c r="T8" s="35" t="n">
        <x:f>Assumptions!C77</x:f>
        <x:v>46874</x:v>
      </x:c>
      <x:c r="U8" s="35" t="n">
        <x:f>Assumptions!C78</x:f>
        <x:v>46905</x:v>
      </x:c>
      <x:c r="V8" s="35" t="n">
        <x:f>Assumptions!C79</x:f>
        <x:v>46935</x:v>
      </x:c>
      <x:c r="W8" s="35" t="n">
        <x:f>Assumptions!C80</x:f>
        <x:v>46966</x:v>
      </x:c>
      <x:c r="X8" s="35" t="n">
        <x:f>Assumptions!C81</x:f>
        <x:v>46997</x:v>
      </x:c>
      <x:c r="Y8" s="35" t="n">
        <x:f>Assumptions!C82</x:f>
        <x:v>47027</x:v>
      </x:c>
      <x:c r="Z8" s="35" t="n">
        <x:f>Assumptions!C83</x:f>
        <x:v>47058</x:v>
      </x:c>
      <x:c r="AA8" s="35" t="n">
        <x:f>Assumptions!C84</x:f>
        <x:v>47088</x:v>
      </x:c>
    </x:row>
    <x:row r="9" ht="21" customHeight="1">
      <x:c r="C9" s="2" t="str">
        <x:v>Qualified sessions</x:v>
      </x:c>
      <x:c r="D9" s="36" t="n">
        <x:f>Assumptions!D61</x:f>
        <x:v>0</x:v>
      </x:c>
      <x:c r="E9" s="36" t="n">
        <x:f>Assumptions!D62</x:f>
        <x:v>0</x:v>
      </x:c>
      <x:c r="F9" s="36" t="n">
        <x:f>Assumptions!D63</x:f>
        <x:v>0</x:v>
      </x:c>
      <x:c r="G9" s="36" t="n">
        <x:f>Assumptions!D64</x:f>
        <x:v>360</x:v>
      </x:c>
      <x:c r="H9" s="36" t="n">
        <x:f>Assumptions!D65</x:f>
        <x:v>600</x:v>
      </x:c>
      <x:c r="I9" s="36" t="n">
        <x:f>Assumptions!D66</x:f>
        <x:v>1050</x:v>
      </x:c>
      <x:c r="J9" s="36" t="n">
        <x:f>Assumptions!D67</x:f>
        <x:v>1260</x:v>
      </x:c>
      <x:c r="K9" s="36" t="n">
        <x:f>Assumptions!D68</x:f>
        <x:v>1350</x:v>
      </x:c>
      <x:c r="L9" s="36" t="n">
        <x:f>Assumptions!D69</x:f>
        <x:v>1080</x:v>
      </x:c>
      <x:c r="M9" s="36" t="n">
        <x:f>Assumptions!D70</x:f>
        <x:v>750</x:v>
      </x:c>
      <x:c r="N9" s="36" t="n">
        <x:f>Assumptions!D71</x:f>
        <x:v>600</x:v>
      </x:c>
      <x:c r="O9" s="36" t="n">
        <x:f>Assumptions!D72</x:f>
        <x:v>450</x:v>
      </x:c>
      <x:c r="P9" s="36" t="n">
        <x:f>Assumptions!D73</x:f>
        <x:v>2000</x:v>
      </x:c>
      <x:c r="Q9" s="36" t="n">
        <x:f>Assumptions!D74</x:f>
        <x:v>2000</x:v>
      </x:c>
      <x:c r="R9" s="36" t="n">
        <x:f>Assumptions!D75</x:f>
        <x:v>3000</x:v>
      </x:c>
      <x:c r="S9" s="36" t="n">
        <x:f>Assumptions!D76</x:f>
        <x:v>4000</x:v>
      </x:c>
      <x:c r="T9" s="36" t="n">
        <x:f>Assumptions!D77</x:f>
        <x:v>6000</x:v>
      </x:c>
      <x:c r="U9" s="36" t="n">
        <x:f>Assumptions!D78</x:f>
        <x:v>9000</x:v>
      </x:c>
      <x:c r="V9" s="36" t="n">
        <x:f>Assumptions!D79</x:f>
        <x:v>10000</x:v>
      </x:c>
      <x:c r="W9" s="36" t="n">
        <x:f>Assumptions!D80</x:f>
        <x:v>9000</x:v>
      </x:c>
      <x:c r="X9" s="36" t="n">
        <x:f>Assumptions!D81</x:f>
        <x:v>7000</x:v>
      </x:c>
      <x:c r="Y9" s="36" t="n">
        <x:f>Assumptions!D82</x:f>
        <x:v>4500</x:v>
      </x:c>
      <x:c r="Z9" s="36" t="n">
        <x:f>Assumptions!D83</x:f>
        <x:v>3500</x:v>
      </x:c>
      <x:c r="AA9" s="36" t="n">
        <x:f>Assumptions!D84</x:f>
        <x:v>2500</x:v>
      </x:c>
    </x:row>
    <x:row r="10" ht="21" customHeight="1">
      <x:c r="C10" s="2" t="str">
        <x:v>Inquiries</x:v>
      </x:c>
      <x:c r="D10" s="36" t="n">
        <x:f>D9*Assumptions!$D$17</x:f>
        <x:v>0</x:v>
      </x:c>
      <x:c r="E10" s="36" t="n">
        <x:f>E9*Assumptions!$D$17</x:f>
        <x:v>0</x:v>
      </x:c>
      <x:c r="F10" s="36" t="n">
        <x:f>F9*Assumptions!$D$17</x:f>
        <x:v>0</x:v>
      </x:c>
      <x:c r="G10" s="36" t="n">
        <x:f>G9*Assumptions!$D$17</x:f>
        <x:v>36</x:v>
      </x:c>
      <x:c r="H10" s="36" t="n">
        <x:f>H9*Assumptions!$D$17</x:f>
        <x:v>60</x:v>
      </x:c>
      <x:c r="I10" s="36" t="n">
        <x:f>I9*Assumptions!$D$17</x:f>
        <x:v>105</x:v>
      </x:c>
      <x:c r="J10" s="36" t="n">
        <x:f>J9*Assumptions!$D$17</x:f>
        <x:v>126</x:v>
      </x:c>
      <x:c r="K10" s="36" t="n">
        <x:f>K9*Assumptions!$D$17</x:f>
        <x:v>135</x:v>
      </x:c>
      <x:c r="L10" s="36" t="n">
        <x:f>L9*Assumptions!$D$17</x:f>
        <x:v>108</x:v>
      </x:c>
      <x:c r="M10" s="36" t="n">
        <x:f>M9*Assumptions!$D$17</x:f>
        <x:v>75</x:v>
      </x:c>
      <x:c r="N10" s="36" t="n">
        <x:f>N9*Assumptions!$D$17</x:f>
        <x:v>60</x:v>
      </x:c>
      <x:c r="O10" s="36" t="n">
        <x:f>O9*Assumptions!$D$17</x:f>
        <x:v>45</x:v>
      </x:c>
      <x:c r="P10" s="36" t="n">
        <x:f>P9*Assumptions!$D$17</x:f>
        <x:v>200</x:v>
      </x:c>
      <x:c r="Q10" s="36" t="n">
        <x:f>Q9*Assumptions!$D$17</x:f>
        <x:v>200</x:v>
      </x:c>
      <x:c r="R10" s="36" t="n">
        <x:f>R9*Assumptions!$D$17</x:f>
        <x:v>300</x:v>
      </x:c>
      <x:c r="S10" s="36" t="n">
        <x:f>S9*Assumptions!$D$17</x:f>
        <x:v>400</x:v>
      </x:c>
      <x:c r="T10" s="36" t="n">
        <x:f>T9*Assumptions!$D$17</x:f>
        <x:v>600</x:v>
      </x:c>
      <x:c r="U10" s="36" t="n">
        <x:f>U9*Assumptions!$D$17</x:f>
        <x:v>900</x:v>
      </x:c>
      <x:c r="V10" s="36" t="n">
        <x:f>V9*Assumptions!$D$17</x:f>
        <x:v>1000</x:v>
      </x:c>
      <x:c r="W10" s="36" t="n">
        <x:f>W9*Assumptions!$D$17</x:f>
        <x:v>900</x:v>
      </x:c>
      <x:c r="X10" s="36" t="n">
        <x:f>X9*Assumptions!$D$17</x:f>
        <x:v>700</x:v>
      </x:c>
      <x:c r="Y10" s="36" t="n">
        <x:f>Y9*Assumptions!$D$17</x:f>
        <x:v>450</x:v>
      </x:c>
      <x:c r="Z10" s="36" t="n">
        <x:f>Z9*Assumptions!$D$17</x:f>
        <x:v>350</x:v>
      </x:c>
      <x:c r="AA10" s="36" t="n">
        <x:f>AA9*Assumptions!$D$17</x:f>
        <x:v>250</x:v>
      </x:c>
    </x:row>
    <x:row r="11" ht="21" customHeight="1">
      <x:c r="C11" s="2" t="str">
        <x:v>Paid parties</x:v>
      </x:c>
      <x:c r="D11" s="36" t="n">
        <x:f>D10*Assumptions!$D$18</x:f>
        <x:v>0</x:v>
      </x:c>
      <x:c r="E11" s="36" t="n">
        <x:f>E10*Assumptions!$D$18</x:f>
        <x:v>0</x:v>
      </x:c>
      <x:c r="F11" s="36" t="n">
        <x:f>F10*Assumptions!$D$18</x:f>
        <x:v>0</x:v>
      </x:c>
      <x:c r="G11" s="36" t="n">
        <x:f>G10*Assumptions!$D$18</x:f>
        <x:v>5.3999999999999995</x:v>
      </x:c>
      <x:c r="H11" s="36" t="n">
        <x:f>H10*Assumptions!$D$18</x:f>
        <x:v>9</x:v>
      </x:c>
      <x:c r="I11" s="36" t="n">
        <x:f>I10*Assumptions!$D$18</x:f>
        <x:v>15.75</x:v>
      </x:c>
      <x:c r="J11" s="36" t="n">
        <x:f>J10*Assumptions!$D$18</x:f>
        <x:v>18.9</x:v>
      </x:c>
      <x:c r="K11" s="36" t="n">
        <x:f>K10*Assumptions!$D$18</x:f>
        <x:v>20.25</x:v>
      </x:c>
      <x:c r="L11" s="36" t="n">
        <x:f>L10*Assumptions!$D$18</x:f>
        <x:v>16.2</x:v>
      </x:c>
      <x:c r="M11" s="36" t="n">
        <x:f>M10*Assumptions!$D$18</x:f>
        <x:v>11.25</x:v>
      </x:c>
      <x:c r="N11" s="36" t="n">
        <x:f>N10*Assumptions!$D$18</x:f>
        <x:v>9</x:v>
      </x:c>
      <x:c r="O11" s="36" t="n">
        <x:f>O10*Assumptions!$D$18</x:f>
        <x:v>6.75</x:v>
      </x:c>
      <x:c r="P11" s="36" t="n">
        <x:f>P10*Assumptions!$D$18</x:f>
        <x:v>30</x:v>
      </x:c>
      <x:c r="Q11" s="36" t="n">
        <x:f>Q10*Assumptions!$D$18</x:f>
        <x:v>30</x:v>
      </x:c>
      <x:c r="R11" s="36" t="n">
        <x:f>R10*Assumptions!$D$18</x:f>
        <x:v>45</x:v>
      </x:c>
      <x:c r="S11" s="36" t="n">
        <x:f>S10*Assumptions!$D$18</x:f>
        <x:v>60</x:v>
      </x:c>
      <x:c r="T11" s="36" t="n">
        <x:f>T10*Assumptions!$D$18</x:f>
        <x:v>90</x:v>
      </x:c>
      <x:c r="U11" s="36" t="n">
        <x:f>U10*Assumptions!$D$18</x:f>
        <x:v>135</x:v>
      </x:c>
      <x:c r="V11" s="36" t="n">
        <x:f>V10*Assumptions!$D$18</x:f>
        <x:v>150</x:v>
      </x:c>
      <x:c r="W11" s="36" t="n">
        <x:f>W10*Assumptions!$D$18</x:f>
        <x:v>135</x:v>
      </x:c>
      <x:c r="X11" s="36" t="n">
        <x:f>X10*Assumptions!$D$18</x:f>
        <x:v>105</x:v>
      </x:c>
      <x:c r="Y11" s="36" t="n">
        <x:f>Y10*Assumptions!$D$18</x:f>
        <x:v>67.5</x:v>
      </x:c>
      <x:c r="Z11" s="36" t="n">
        <x:f>Z10*Assumptions!$D$18</x:f>
        <x:v>52.5</x:v>
      </x:c>
      <x:c r="AA11" s="36" t="n">
        <x:f>AA10*Assumptions!$D$18</x:f>
        <x:v>37.5</x:v>
      </x:c>
    </x:row>
    <x:row r="12" ht="21" customHeight="1">
      <x:c r="C12" s="2" t="str">
        <x:v>Travelers per party</x:v>
      </x:c>
      <x:c r="D12" s="36" t="n">
        <x:f>Assumptions!$D$19</x:f>
        <x:v>2</x:v>
      </x:c>
      <x:c r="E12" s="36" t="n">
        <x:f>Assumptions!$D$19</x:f>
        <x:v>2</x:v>
      </x:c>
      <x:c r="F12" s="36" t="n">
        <x:f>Assumptions!$D$19</x:f>
        <x:v>2</x:v>
      </x:c>
      <x:c r="G12" s="36" t="n">
        <x:f>Assumptions!$D$19</x:f>
        <x:v>2</x:v>
      </x:c>
      <x:c r="H12" s="36" t="n">
        <x:f>Assumptions!$D$19</x:f>
        <x:v>2</x:v>
      </x:c>
      <x:c r="I12" s="36" t="n">
        <x:f>Assumptions!$D$19</x:f>
        <x:v>2</x:v>
      </x:c>
      <x:c r="J12" s="36" t="n">
        <x:f>Assumptions!$D$19</x:f>
        <x:v>2</x:v>
      </x:c>
      <x:c r="K12" s="36" t="n">
        <x:f>Assumptions!$D$19</x:f>
        <x:v>2</x:v>
      </x:c>
      <x:c r="L12" s="36" t="n">
        <x:f>Assumptions!$D$19</x:f>
        <x:v>2</x:v>
      </x:c>
      <x:c r="M12" s="36" t="n">
        <x:f>Assumptions!$D$19</x:f>
        <x:v>2</x:v>
      </x:c>
      <x:c r="N12" s="36" t="n">
        <x:f>Assumptions!$D$19</x:f>
        <x:v>2</x:v>
      </x:c>
      <x:c r="O12" s="36" t="n">
        <x:f>Assumptions!$D$19</x:f>
        <x:v>2</x:v>
      </x:c>
      <x:c r="P12" s="36" t="n">
        <x:f>Assumptions!$D$19</x:f>
        <x:v>2</x:v>
      </x:c>
      <x:c r="Q12" s="36" t="n">
        <x:f>Assumptions!$D$19</x:f>
        <x:v>2</x:v>
      </x:c>
      <x:c r="R12" s="36" t="n">
        <x:f>Assumptions!$D$19</x:f>
        <x:v>2</x:v>
      </x:c>
      <x:c r="S12" s="36" t="n">
        <x:f>Assumptions!$D$19</x:f>
        <x:v>2</x:v>
      </x:c>
      <x:c r="T12" s="36" t="n">
        <x:f>Assumptions!$D$19</x:f>
        <x:v>2</x:v>
      </x:c>
      <x:c r="U12" s="36" t="n">
        <x:f>Assumptions!$D$19</x:f>
        <x:v>2</x:v>
      </x:c>
      <x:c r="V12" s="36" t="n">
        <x:f>Assumptions!$D$19</x:f>
        <x:v>2</x:v>
      </x:c>
      <x:c r="W12" s="36" t="n">
        <x:f>Assumptions!$D$19</x:f>
        <x:v>2</x:v>
      </x:c>
      <x:c r="X12" s="36" t="n">
        <x:f>Assumptions!$D$19</x:f>
        <x:v>2</x:v>
      </x:c>
      <x:c r="Y12" s="36" t="n">
        <x:f>Assumptions!$D$19</x:f>
        <x:v>2</x:v>
      </x:c>
      <x:c r="Z12" s="36" t="n">
        <x:f>Assumptions!$D$19</x:f>
        <x:v>2</x:v>
      </x:c>
      <x:c r="AA12" s="36" t="n">
        <x:f>Assumptions!$D$19</x:f>
        <x:v>2</x:v>
      </x:c>
    </x:row>
    <x:row r="13" ht="21" customHeight="1">
      <x:c r="C13" s="2" t="str">
        <x:v>Completion rate</x:v>
      </x:c>
      <x:c r="D13" s="39" t="n">
        <x:f>Assumptions!$D$20</x:f>
        <x:v>0.8</x:v>
      </x:c>
      <x:c r="E13" s="39" t="n">
        <x:f>Assumptions!$D$20</x:f>
        <x:v>0.8</x:v>
      </x:c>
      <x:c r="F13" s="39" t="n">
        <x:f>Assumptions!$D$20</x:f>
        <x:v>0.8</x:v>
      </x:c>
      <x:c r="G13" s="39" t="n">
        <x:f>Assumptions!$D$20</x:f>
        <x:v>0.8</x:v>
      </x:c>
      <x:c r="H13" s="39" t="n">
        <x:f>Assumptions!$D$20</x:f>
        <x:v>0.8</x:v>
      </x:c>
      <x:c r="I13" s="39" t="n">
        <x:f>Assumptions!$D$20</x:f>
        <x:v>0.8</x:v>
      </x:c>
      <x:c r="J13" s="39" t="n">
        <x:f>Assumptions!$D$20</x:f>
        <x:v>0.8</x:v>
      </x:c>
      <x:c r="K13" s="39" t="n">
        <x:f>Assumptions!$D$20</x:f>
        <x:v>0.8</x:v>
      </x:c>
      <x:c r="L13" s="39" t="n">
        <x:f>Assumptions!$D$20</x:f>
        <x:v>0.8</x:v>
      </x:c>
      <x:c r="M13" s="39" t="n">
        <x:f>Assumptions!$D$20</x:f>
        <x:v>0.8</x:v>
      </x:c>
      <x:c r="N13" s="39" t="n">
        <x:f>Assumptions!$D$20</x:f>
        <x:v>0.8</x:v>
      </x:c>
      <x:c r="O13" s="39" t="n">
        <x:f>Assumptions!$D$20</x:f>
        <x:v>0.8</x:v>
      </x:c>
      <x:c r="P13" s="39" t="n">
        <x:f>Assumptions!$D$20</x:f>
        <x:v>0.8</x:v>
      </x:c>
      <x:c r="Q13" s="39" t="n">
        <x:f>Assumptions!$D$20</x:f>
        <x:v>0.8</x:v>
      </x:c>
      <x:c r="R13" s="39" t="n">
        <x:f>Assumptions!$D$20</x:f>
        <x:v>0.8</x:v>
      </x:c>
      <x:c r="S13" s="39" t="n">
        <x:f>Assumptions!$D$20</x:f>
        <x:v>0.8</x:v>
      </x:c>
      <x:c r="T13" s="39" t="n">
        <x:f>Assumptions!$D$20</x:f>
        <x:v>0.8</x:v>
      </x:c>
      <x:c r="U13" s="39" t="n">
        <x:f>Assumptions!$D$20</x:f>
        <x:v>0.8</x:v>
      </x:c>
      <x:c r="V13" s="39" t="n">
        <x:f>Assumptions!$D$20</x:f>
        <x:v>0.8</x:v>
      </x:c>
      <x:c r="W13" s="39" t="n">
        <x:f>Assumptions!$D$20</x:f>
        <x:v>0.8</x:v>
      </x:c>
      <x:c r="X13" s="39" t="n">
        <x:f>Assumptions!$D$20</x:f>
        <x:v>0.8</x:v>
      </x:c>
      <x:c r="Y13" s="39" t="n">
        <x:f>Assumptions!$D$20</x:f>
        <x:v>0.8</x:v>
      </x:c>
      <x:c r="Z13" s="39" t="n">
        <x:f>Assumptions!$D$20</x:f>
        <x:v>0.8</x:v>
      </x:c>
      <x:c r="AA13" s="39" t="n">
        <x:f>Assumptions!$D$20</x:f>
        <x:v>0.8</x:v>
      </x:c>
    </x:row>
    <x:row r="14" ht="21" customHeight="1">
      <x:c r="C14" s="2" t="str">
        <x:v>Base demand before capacity</x:v>
      </x:c>
      <x:c r="D14" s="37" t="n">
        <x:f>D11*D12*D13</x:f>
        <x:v>0</x:v>
      </x:c>
      <x:c r="E14" s="37" t="n">
        <x:f>E11*E12*E13</x:f>
        <x:v>0</x:v>
      </x:c>
      <x:c r="F14" s="37" t="n">
        <x:f>F11*F12*F13</x:f>
        <x:v>0</x:v>
      </x:c>
      <x:c r="G14" s="37" t="n">
        <x:f>G11*G12*G13</x:f>
        <x:v>8.639999999999999</x:v>
      </x:c>
      <x:c r="H14" s="37" t="n">
        <x:f>H11*H12*H13</x:f>
        <x:v>14.4</x:v>
      </x:c>
      <x:c r="I14" s="37" t="n">
        <x:f>I11*I12*I13</x:f>
        <x:v>25.200000000000003</x:v>
      </x:c>
      <x:c r="J14" s="37" t="n">
        <x:f>J11*J12*J13</x:f>
        <x:v>30.24</x:v>
      </x:c>
      <x:c r="K14" s="37" t="n">
        <x:f>K11*K12*K13</x:f>
        <x:v>32.4</x:v>
      </x:c>
      <x:c r="L14" s="37" t="n">
        <x:f>L11*L12*L13</x:f>
        <x:v>25.92</x:v>
      </x:c>
      <x:c r="M14" s="37" t="n">
        <x:f>M11*M12*M13</x:f>
        <x:v>18</x:v>
      </x:c>
      <x:c r="N14" s="37" t="n">
        <x:f>N11*N12*N13</x:f>
        <x:v>14.4</x:v>
      </x:c>
      <x:c r="O14" s="37" t="n">
        <x:f>O11*O12*O13</x:f>
        <x:v>10.8</x:v>
      </x:c>
      <x:c r="P14" s="37" t="n">
        <x:f>P11*P12*P13</x:f>
        <x:v>48</x:v>
      </x:c>
      <x:c r="Q14" s="37" t="n">
        <x:f>Q11*Q12*Q13</x:f>
        <x:v>48</x:v>
      </x:c>
      <x:c r="R14" s="37" t="n">
        <x:f>R11*R12*R13</x:f>
        <x:v>72</x:v>
      </x:c>
      <x:c r="S14" s="37" t="n">
        <x:f>S11*S12*S13</x:f>
        <x:v>96</x:v>
      </x:c>
      <x:c r="T14" s="37" t="n">
        <x:f>T11*T12*T13</x:f>
        <x:v>144</x:v>
      </x:c>
      <x:c r="U14" s="37" t="n">
        <x:f>U11*U12*U13</x:f>
        <x:v>216</x:v>
      </x:c>
      <x:c r="V14" s="37" t="n">
        <x:f>V11*V12*V13</x:f>
        <x:v>240</x:v>
      </x:c>
      <x:c r="W14" s="37" t="n">
        <x:f>W11*W12*W13</x:f>
        <x:v>216</x:v>
      </x:c>
      <x:c r="X14" s="37" t="n">
        <x:f>X11*X12*X13</x:f>
        <x:v>168</x:v>
      </x:c>
      <x:c r="Y14" s="37" t="n">
        <x:f>Y11*Y12*Y13</x:f>
        <x:v>108</x:v>
      </x:c>
      <x:c r="Z14" s="37" t="n">
        <x:f>Z11*Z12*Z13</x:f>
        <x:v>84</x:v>
      </x:c>
      <x:c r="AA14" s="37" t="n">
        <x:f>AA11*AA12*AA13</x:f>
        <x:v>60</x:v>
      </x:c>
    </x:row>
    <x:row r="15" ht="21" customHeight="1">
      <x:c r="C15" s="2" t="str">
        <x:v>Incremental traveler capacity</x:v>
      </x:c>
      <x:c r="D15" s="36" t="n">
        <x:f>Assumptions!E61*Assumptions!$D$28</x:f>
        <x:v>0</x:v>
      </x:c>
      <x:c r="E15" s="36" t="n">
        <x:f>Assumptions!E62*Assumptions!$D$28</x:f>
        <x:v>0</x:v>
      </x:c>
      <x:c r="F15" s="36" t="n">
        <x:f>Assumptions!E63*Assumptions!$D$28</x:f>
        <x:v>0</x:v>
      </x:c>
      <x:c r="G15" s="36" t="n">
        <x:f>Assumptions!E64*Assumptions!$D$28</x:f>
        <x:v>24</x:v>
      </x:c>
      <x:c r="H15" s="36" t="n">
        <x:f>Assumptions!E65*Assumptions!$D$28</x:f>
        <x:v>24</x:v>
      </x:c>
      <x:c r="I15" s="36" t="n">
        <x:f>Assumptions!E66*Assumptions!$D$28</x:f>
        <x:v>36</x:v>
      </x:c>
      <x:c r="J15" s="36" t="n">
        <x:f>Assumptions!E67*Assumptions!$D$28</x:f>
        <x:v>48</x:v>
      </x:c>
      <x:c r="K15" s="36" t="n">
        <x:f>Assumptions!E68*Assumptions!$D$28</x:f>
        <x:v>48</x:v>
      </x:c>
      <x:c r="L15" s="36" t="n">
        <x:f>Assumptions!E69*Assumptions!$D$28</x:f>
        <x:v>36</x:v>
      </x:c>
      <x:c r="M15" s="36" t="n">
        <x:f>Assumptions!E70*Assumptions!$D$28</x:f>
        <x:v>24</x:v>
      </x:c>
      <x:c r="N15" s="36" t="n">
        <x:f>Assumptions!E71*Assumptions!$D$28</x:f>
        <x:v>24</x:v>
      </x:c>
      <x:c r="O15" s="36" t="n">
        <x:f>Assumptions!E72*Assumptions!$D$28</x:f>
        <x:v>24</x:v>
      </x:c>
      <x:c r="P15" s="36" t="n">
        <x:f>Assumptions!E73*Assumptions!$D$28</x:f>
        <x:v>60</x:v>
      </x:c>
      <x:c r="Q15" s="36" t="n">
        <x:f>Assumptions!E74*Assumptions!$D$28</x:f>
        <x:v>60</x:v>
      </x:c>
      <x:c r="R15" s="36" t="n">
        <x:f>Assumptions!E75*Assumptions!$D$28</x:f>
        <x:v>72</x:v>
      </x:c>
      <x:c r="S15" s="36" t="n">
        <x:f>Assumptions!E76*Assumptions!$D$28</x:f>
        <x:v>120</x:v>
      </x:c>
      <x:c r="T15" s="36" t="n">
        <x:f>Assumptions!E77*Assumptions!$D$28</x:f>
        <x:v>168</x:v>
      </x:c>
      <x:c r="U15" s="36" t="n">
        <x:f>Assumptions!E78*Assumptions!$D$28</x:f>
        <x:v>240</x:v>
      </x:c>
      <x:c r="V15" s="36" t="n">
        <x:f>Assumptions!E79*Assumptions!$D$28</x:f>
        <x:v>264</x:v>
      </x:c>
      <x:c r="W15" s="36" t="n">
        <x:f>Assumptions!E80*Assumptions!$D$28</x:f>
        <x:v>264</x:v>
      </x:c>
      <x:c r="X15" s="36" t="n">
        <x:f>Assumptions!E81*Assumptions!$D$28</x:f>
        <x:v>216</x:v>
      </x:c>
      <x:c r="Y15" s="36" t="n">
        <x:f>Assumptions!E82*Assumptions!$D$28</x:f>
        <x:v>144</x:v>
      </x:c>
      <x:c r="Z15" s="36" t="n">
        <x:f>Assumptions!E83*Assumptions!$D$28</x:f>
        <x:v>120</x:v>
      </x:c>
      <x:c r="AA15" s="36" t="n">
        <x:f>Assumptions!E84*Assumptions!$D$28</x:f>
        <x:v>96</x:v>
      </x:c>
    </x:row>
    <x:row r="16" ht="21" customHeight="1">
      <x:c r="C16" s="2" t="str">
        <x:v>Base travelers within capacity</x:v>
      </x:c>
      <x:c r="D16" s="37" t="n">
        <x:f>MIN(D14,D15)</x:f>
        <x:v>0</x:v>
      </x:c>
      <x:c r="E16" s="37" t="n">
        <x:f>MIN(E14,E15)</x:f>
        <x:v>0</x:v>
      </x:c>
      <x:c r="F16" s="37" t="n">
        <x:f>MIN(F14,F15)</x:f>
        <x:v>0</x:v>
      </x:c>
      <x:c r="G16" s="37" t="n">
        <x:f>MIN(G14,G15)</x:f>
        <x:v>8.639999999999999</x:v>
      </x:c>
      <x:c r="H16" s="37" t="n">
        <x:f>MIN(H14,H15)</x:f>
        <x:v>14.4</x:v>
      </x:c>
      <x:c r="I16" s="37" t="n">
        <x:f>MIN(I14,I15)</x:f>
        <x:v>25.200000000000003</x:v>
      </x:c>
      <x:c r="J16" s="37" t="n">
        <x:f>MIN(J14,J15)</x:f>
        <x:v>30.24</x:v>
      </x:c>
      <x:c r="K16" s="37" t="n">
        <x:f>MIN(K14,K15)</x:f>
        <x:v>32.4</x:v>
      </x:c>
      <x:c r="L16" s="37" t="n">
        <x:f>MIN(L14,L15)</x:f>
        <x:v>25.92</x:v>
      </x:c>
      <x:c r="M16" s="37" t="n">
        <x:f>MIN(M14,M15)</x:f>
        <x:v>18</x:v>
      </x:c>
      <x:c r="N16" s="37" t="n">
        <x:f>MIN(N14,N15)</x:f>
        <x:v>14.4</x:v>
      </x:c>
      <x:c r="O16" s="37" t="n">
        <x:f>MIN(O14,O15)</x:f>
        <x:v>10.8</x:v>
      </x:c>
      <x:c r="P16" s="37" t="n">
        <x:f>MIN(P14,P15)</x:f>
        <x:v>48</x:v>
      </x:c>
      <x:c r="Q16" s="37" t="n">
        <x:f>MIN(Q14,Q15)</x:f>
        <x:v>48</x:v>
      </x:c>
      <x:c r="R16" s="37" t="n">
        <x:f>MIN(R14,R15)</x:f>
        <x:v>72</x:v>
      </x:c>
      <x:c r="S16" s="37" t="n">
        <x:f>MIN(S14,S15)</x:f>
        <x:v>96</x:v>
      </x:c>
      <x:c r="T16" s="37" t="n">
        <x:f>MIN(T14,T15)</x:f>
        <x:v>144</x:v>
      </x:c>
      <x:c r="U16" s="37" t="n">
        <x:f>MIN(U14,U15)</x:f>
        <x:v>216</x:v>
      </x:c>
      <x:c r="V16" s="37" t="n">
        <x:f>MIN(V14,V15)</x:f>
        <x:v>240</x:v>
      </x:c>
      <x:c r="W16" s="37" t="n">
        <x:f>MIN(W14,W15)</x:f>
        <x:v>216</x:v>
      </x:c>
      <x:c r="X16" s="37" t="n">
        <x:f>MIN(X14,X15)</x:f>
        <x:v>168</x:v>
      </x:c>
      <x:c r="Y16" s="37" t="n">
        <x:f>MIN(Y14,Y15)</x:f>
        <x:v>108</x:v>
      </x:c>
      <x:c r="Z16" s="37" t="n">
        <x:f>MIN(Z14,Z15)</x:f>
        <x:v>84</x:v>
      </x:c>
      <x:c r="AA16" s="37" t="n">
        <x:f>MIN(AA14,AA15)</x:f>
        <x:v>60</x:v>
      </x:c>
    </x:row>
    <x:row r="17" ht="21" customHeight="1">
      <x:c r="C17" s="2" t="str">
        <x:v>Active demand multiplier</x:v>
      </x:c>
      <x:c r="D17" s="39" t="n">
        <x:f>Assumptions!$D$7</x:f>
        <x:v>1</x:v>
      </x:c>
      <x:c r="E17" s="39" t="n">
        <x:f>Assumptions!$D$7</x:f>
        <x:v>1</x:v>
      </x:c>
      <x:c r="F17" s="39" t="n">
        <x:f>Assumptions!$D$7</x:f>
        <x:v>1</x:v>
      </x:c>
      <x:c r="G17" s="39" t="n">
        <x:f>Assumptions!$D$7</x:f>
        <x:v>1</x:v>
      </x:c>
      <x:c r="H17" s="39" t="n">
        <x:f>Assumptions!$D$7</x:f>
        <x:v>1</x:v>
      </x:c>
      <x:c r="I17" s="39" t="n">
        <x:f>Assumptions!$D$7</x:f>
        <x:v>1</x:v>
      </x:c>
      <x:c r="J17" s="39" t="n">
        <x:f>Assumptions!$D$7</x:f>
        <x:v>1</x:v>
      </x:c>
      <x:c r="K17" s="39" t="n">
        <x:f>Assumptions!$D$7</x:f>
        <x:v>1</x:v>
      </x:c>
      <x:c r="L17" s="39" t="n">
        <x:f>Assumptions!$D$7</x:f>
        <x:v>1</x:v>
      </x:c>
      <x:c r="M17" s="39" t="n">
        <x:f>Assumptions!$D$7</x:f>
        <x:v>1</x:v>
      </x:c>
      <x:c r="N17" s="39" t="n">
        <x:f>Assumptions!$D$7</x:f>
        <x:v>1</x:v>
      </x:c>
      <x:c r="O17" s="39" t="n">
        <x:f>Assumptions!$D$7</x:f>
        <x:v>1</x:v>
      </x:c>
      <x:c r="P17" s="39" t="n">
        <x:f>Assumptions!$D$7</x:f>
        <x:v>1</x:v>
      </x:c>
      <x:c r="Q17" s="39" t="n">
        <x:f>Assumptions!$D$7</x:f>
        <x:v>1</x:v>
      </x:c>
      <x:c r="R17" s="39" t="n">
        <x:f>Assumptions!$D$7</x:f>
        <x:v>1</x:v>
      </x:c>
      <x:c r="S17" s="39" t="n">
        <x:f>Assumptions!$D$7</x:f>
        <x:v>1</x:v>
      </x:c>
      <x:c r="T17" s="39" t="n">
        <x:f>Assumptions!$D$7</x:f>
        <x:v>1</x:v>
      </x:c>
      <x:c r="U17" s="39" t="n">
        <x:f>Assumptions!$D$7</x:f>
        <x:v>1</x:v>
      </x:c>
      <x:c r="V17" s="39" t="n">
        <x:f>Assumptions!$D$7</x:f>
        <x:v>1</x:v>
      </x:c>
      <x:c r="W17" s="39" t="n">
        <x:f>Assumptions!$D$7</x:f>
        <x:v>1</x:v>
      </x:c>
      <x:c r="X17" s="39" t="n">
        <x:f>Assumptions!$D$7</x:f>
        <x:v>1</x:v>
      </x:c>
      <x:c r="Y17" s="39" t="n">
        <x:f>Assumptions!$D$7</x:f>
        <x:v>1</x:v>
      </x:c>
      <x:c r="Z17" s="39" t="n">
        <x:f>Assumptions!$D$7</x:f>
        <x:v>1</x:v>
      </x:c>
      <x:c r="AA17" s="39" t="n">
        <x:f>Assumptions!$D$7</x:f>
        <x:v>1</x:v>
      </x:c>
    </x:row>
    <x:row r="18" ht="21" customHeight="1">
      <x:c r="C18" s="24" t="str">
        <x:v>Incremental completed travelers</x:v>
      </x:c>
      <x:c r="D18" s="41" t="n">
        <x:f>D16*D17</x:f>
        <x:v>0</x:v>
      </x:c>
      <x:c r="E18" s="41" t="n">
        <x:f>E16*E17</x:f>
        <x:v>0</x:v>
      </x:c>
      <x:c r="F18" s="41" t="n">
        <x:f>F16*F17</x:f>
        <x:v>0</x:v>
      </x:c>
      <x:c r="G18" s="41" t="n">
        <x:f>G16*G17</x:f>
        <x:v>8.639999999999999</x:v>
      </x:c>
      <x:c r="H18" s="41" t="n">
        <x:f>H16*H17</x:f>
        <x:v>14.4</x:v>
      </x:c>
      <x:c r="I18" s="41" t="n">
        <x:f>I16*I17</x:f>
        <x:v>25.200000000000003</x:v>
      </x:c>
      <x:c r="J18" s="41" t="n">
        <x:f>J16*J17</x:f>
        <x:v>30.24</x:v>
      </x:c>
      <x:c r="K18" s="41" t="n">
        <x:f>K16*K17</x:f>
        <x:v>32.4</x:v>
      </x:c>
      <x:c r="L18" s="41" t="n">
        <x:f>L16*L17</x:f>
        <x:v>25.92</x:v>
      </x:c>
      <x:c r="M18" s="41" t="n">
        <x:f>M16*M17</x:f>
        <x:v>18</x:v>
      </x:c>
      <x:c r="N18" s="41" t="n">
        <x:f>N16*N17</x:f>
        <x:v>14.4</x:v>
      </x:c>
      <x:c r="O18" s="41" t="n">
        <x:f>O16*O17</x:f>
        <x:v>10.8</x:v>
      </x:c>
      <x:c r="P18" s="41" t="n">
        <x:f>P16*P17</x:f>
        <x:v>48</x:v>
      </x:c>
      <x:c r="Q18" s="41" t="n">
        <x:f>Q16*Q17</x:f>
        <x:v>48</x:v>
      </x:c>
      <x:c r="R18" s="41" t="n">
        <x:f>R16*R17</x:f>
        <x:v>72</x:v>
      </x:c>
      <x:c r="S18" s="41" t="n">
        <x:f>S16*S17</x:f>
        <x:v>96</x:v>
      </x:c>
      <x:c r="T18" s="41" t="n">
        <x:f>T16*T17</x:f>
        <x:v>144</x:v>
      </x:c>
      <x:c r="U18" s="41" t="n">
        <x:f>U16*U17</x:f>
        <x:v>216</x:v>
      </x:c>
      <x:c r="V18" s="41" t="n">
        <x:f>V16*V17</x:f>
        <x:v>240</x:v>
      </x:c>
      <x:c r="W18" s="41" t="n">
        <x:f>W16*W17</x:f>
        <x:v>216</x:v>
      </x:c>
      <x:c r="X18" s="41" t="n">
        <x:f>X16*X17</x:f>
        <x:v>168</x:v>
      </x:c>
      <x:c r="Y18" s="41" t="n">
        <x:f>Y16*Y17</x:f>
        <x:v>108</x:v>
      </x:c>
      <x:c r="Z18" s="41" t="n">
        <x:f>Z16*Z17</x:f>
        <x:v>84</x:v>
      </x:c>
      <x:c r="AA18" s="41" t="n">
        <x:f>AA16*AA17</x:f>
        <x:v>60</x:v>
      </x:c>
    </x:row>
    <x:row r="19" ht="21" customHeight="1">
      <x:c r="C19" s="2" t="str">
        <x:v>Incremental foreign travelers</x:v>
      </x:c>
      <x:c r="D19" s="36" t="n">
        <x:f>D18*Assumptions!$D$16</x:f>
        <x:v>0</x:v>
      </x:c>
      <x:c r="E19" s="36" t="n">
        <x:f>E18*Assumptions!$D$16</x:f>
        <x:v>0</x:v>
      </x:c>
      <x:c r="F19" s="36" t="n">
        <x:f>F18*Assumptions!$D$16</x:f>
        <x:v>0</x:v>
      </x:c>
      <x:c r="G19" s="36" t="n">
        <x:f>G18*Assumptions!$D$16</x:f>
        <x:v>7.775999999999999</x:v>
      </x:c>
      <x:c r="H19" s="36" t="n">
        <x:f>H18*Assumptions!$D$16</x:f>
        <x:v>12.96</x:v>
      </x:c>
      <x:c r="I19" s="36" t="n">
        <x:f>I18*Assumptions!$D$16</x:f>
        <x:v>22.680000000000003</x:v>
      </x:c>
      <x:c r="J19" s="36" t="n">
        <x:f>J18*Assumptions!$D$16</x:f>
        <x:v>27.215999999999998</x:v>
      </x:c>
      <x:c r="K19" s="36" t="n">
        <x:f>K18*Assumptions!$D$16</x:f>
        <x:v>29.16</x:v>
      </x:c>
      <x:c r="L19" s="36" t="n">
        <x:f>L18*Assumptions!$D$16</x:f>
        <x:v>23.328000000000003</x:v>
      </x:c>
      <x:c r="M19" s="36" t="n">
        <x:f>M18*Assumptions!$D$16</x:f>
        <x:v>16.2</x:v>
      </x:c>
      <x:c r="N19" s="36" t="n">
        <x:f>N18*Assumptions!$D$16</x:f>
        <x:v>12.96</x:v>
      </x:c>
      <x:c r="O19" s="36" t="n">
        <x:f>O18*Assumptions!$D$16</x:f>
        <x:v>9.72</x:v>
      </x:c>
      <x:c r="P19" s="36" t="n">
        <x:f>P18*Assumptions!$D$16</x:f>
        <x:v>43.2</x:v>
      </x:c>
      <x:c r="Q19" s="36" t="n">
        <x:f>Q18*Assumptions!$D$16</x:f>
        <x:v>43.2</x:v>
      </x:c>
      <x:c r="R19" s="36" t="n">
        <x:f>R18*Assumptions!$D$16</x:f>
        <x:v>64.8</x:v>
      </x:c>
      <x:c r="S19" s="36" t="n">
        <x:f>S18*Assumptions!$D$16</x:f>
        <x:v>86.4</x:v>
      </x:c>
      <x:c r="T19" s="36" t="n">
        <x:f>T18*Assumptions!$D$16</x:f>
        <x:v>129.6</x:v>
      </x:c>
      <x:c r="U19" s="36" t="n">
        <x:f>U18*Assumptions!$D$16</x:f>
        <x:v>194.4</x:v>
      </x:c>
      <x:c r="V19" s="36" t="n">
        <x:f>V18*Assumptions!$D$16</x:f>
        <x:v>216</x:v>
      </x:c>
      <x:c r="W19" s="36" t="n">
        <x:f>W18*Assumptions!$D$16</x:f>
        <x:v>194.4</x:v>
      </x:c>
      <x:c r="X19" s="36" t="n">
        <x:f>X18*Assumptions!$D$16</x:f>
        <x:v>151.20000000000002</x:v>
      </x:c>
      <x:c r="Y19" s="36" t="n">
        <x:f>Y18*Assumptions!$D$16</x:f>
        <x:v>97.2</x:v>
      </x:c>
      <x:c r="Z19" s="36" t="n">
        <x:f>Z18*Assumptions!$D$16</x:f>
        <x:v>75.60000000000001</x:v>
      </x:c>
      <x:c r="AA19" s="36" t="n">
        <x:f>AA18*Assumptions!$D$16</x:f>
        <x:v>54</x:v>
      </x:c>
    </x:row>
    <x:row r="20" ht="21" customHeight="1">
      <x:c r="C20" s="2" t="str">
        <x:v>Incremental domestic travelers</x:v>
      </x:c>
      <x:c r="D20" s="37" t="n">
        <x:f>D18-D19</x:f>
        <x:v>0</x:v>
      </x:c>
      <x:c r="E20" s="37" t="n">
        <x:f>E18-E19</x:f>
        <x:v>0</x:v>
      </x:c>
      <x:c r="F20" s="37" t="n">
        <x:f>F18-F19</x:f>
        <x:v>0</x:v>
      </x:c>
      <x:c r="G20" s="37" t="n">
        <x:f>G18-G19</x:f>
        <x:v>0.8639999999999999</x:v>
      </x:c>
      <x:c r="H20" s="37" t="n">
        <x:f>H18-H19</x:f>
        <x:v>1.4399999999999995</x:v>
      </x:c>
      <x:c r="I20" s="37" t="n">
        <x:f>I18-I19</x:f>
        <x:v>2.5199999999999996</x:v>
      </x:c>
      <x:c r="J20" s="37" t="n">
        <x:f>J18-J19</x:f>
        <x:v>3.024000000000001</x:v>
      </x:c>
      <x:c r="K20" s="37" t="n">
        <x:f>K18-K19</x:f>
        <x:v>3.2399999999999984</x:v>
      </x:c>
      <x:c r="L20" s="37" t="n">
        <x:f>L18-L19</x:f>
        <x:v>2.5919999999999987</x:v>
      </x:c>
      <x:c r="M20" s="37" t="n">
        <x:f>M18-M19</x:f>
        <x:v>1.8000000000000007</x:v>
      </x:c>
      <x:c r="N20" s="37" t="n">
        <x:f>N18-N19</x:f>
        <x:v>1.4399999999999995</x:v>
      </x:c>
      <x:c r="O20" s="37" t="n">
        <x:f>O18-O19</x:f>
        <x:v>1.08</x:v>
      </x:c>
      <x:c r="P20" s="37" t="n">
        <x:f>P18-P19</x:f>
        <x:v>4.799999999999997</x:v>
      </x:c>
      <x:c r="Q20" s="37" t="n">
        <x:f>Q18-Q19</x:f>
        <x:v>4.799999999999997</x:v>
      </x:c>
      <x:c r="R20" s="37" t="n">
        <x:f>R18-R19</x:f>
        <x:v>7.200000000000003</x:v>
      </x:c>
      <x:c r="S20" s="37" t="n">
        <x:f>S18-S19</x:f>
        <x:v>9.599999999999994</x:v>
      </x:c>
      <x:c r="T20" s="37" t="n">
        <x:f>T18-T19</x:f>
        <x:v>14.400000000000006</x:v>
      </x:c>
      <x:c r="U20" s="37" t="n">
        <x:f>U18-U19</x:f>
        <x:v>21.599999999999994</x:v>
      </x:c>
      <x:c r="V20" s="37" t="n">
        <x:f>V18-V19</x:f>
        <x:v>24</x:v>
      </x:c>
      <x:c r="W20" s="37" t="n">
        <x:f>W18-W19</x:f>
        <x:v>21.599999999999994</x:v>
      </x:c>
      <x:c r="X20" s="37" t="n">
        <x:f>X18-X19</x:f>
        <x:v>16.799999999999983</x:v>
      </x:c>
      <x:c r="Y20" s="37" t="n">
        <x:f>Y18-Y19</x:f>
        <x:v>10.799999999999997</x:v>
      </x:c>
      <x:c r="Z20" s="37" t="n">
        <x:f>Z18-Z19</x:f>
        <x:v>8.399999999999991</x:v>
      </x:c>
      <x:c r="AA20" s="37" t="n">
        <x:f>AA18-AA19</x:f>
        <x:v>6</x:v>
      </x:c>
    </x:row>
    <x:row r="21" ht="21" customHeight="1"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1" customHeight="1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21" customHeight="1">
      <x:c r="C23" s="24" t="str">
        <x:v>Incremental revenue</x:v>
      </x:c>
      <x:c r="D23" s="43" t="n">
        <x:f>D18*Assumptions!$D$12</x:f>
        <x:v>0</x:v>
      </x:c>
      <x:c r="E23" s="43" t="n">
        <x:f>E18*Assumptions!$D$12</x:f>
        <x:v>0</x:v>
      </x:c>
      <x:c r="F23" s="43" t="n">
        <x:f>F18*Assumptions!$D$12</x:f>
        <x:v>0</x:v>
      </x:c>
      <x:c r="G23" s="43" t="n">
        <x:f>G18*Assumptions!$D$12</x:f>
        <x:v>380159.99999999994</x:v>
      </x:c>
      <x:c r="H23" s="43" t="n">
        <x:f>H18*Assumptions!$D$12</x:f>
        <x:v>633600</x:v>
      </x:c>
      <x:c r="I23" s="43" t="n">
        <x:f>I18*Assumptions!$D$12</x:f>
        <x:v>1108800.0000000002</x:v>
      </x:c>
      <x:c r="J23" s="43" t="n">
        <x:f>J18*Assumptions!$D$12</x:f>
        <x:v>1330560</x:v>
      </x:c>
      <x:c r="K23" s="43" t="n">
        <x:f>K18*Assumptions!$D$12</x:f>
        <x:v>1425600</x:v>
      </x:c>
      <x:c r="L23" s="43" t="n">
        <x:f>L18*Assumptions!$D$12</x:f>
        <x:v>1140480</x:v>
      </x:c>
      <x:c r="M23" s="43" t="n">
        <x:f>M18*Assumptions!$D$12</x:f>
        <x:v>792000</x:v>
      </x:c>
      <x:c r="N23" s="43" t="n">
        <x:f>N18*Assumptions!$D$12</x:f>
        <x:v>633600</x:v>
      </x:c>
      <x:c r="O23" s="43" t="n">
        <x:f>O18*Assumptions!$D$12</x:f>
        <x:v>475200.00000000006</x:v>
      </x:c>
      <x:c r="P23" s="43" t="n">
        <x:f>P18*Assumptions!$D$12</x:f>
        <x:v>2112000</x:v>
      </x:c>
      <x:c r="Q23" s="43" t="n">
        <x:f>Q18*Assumptions!$D$12</x:f>
        <x:v>2112000</x:v>
      </x:c>
      <x:c r="R23" s="43" t="n">
        <x:f>R18*Assumptions!$D$12</x:f>
        <x:v>3168000</x:v>
      </x:c>
      <x:c r="S23" s="43" t="n">
        <x:f>S18*Assumptions!$D$12</x:f>
        <x:v>4224000</x:v>
      </x:c>
      <x:c r="T23" s="43" t="n">
        <x:f>T18*Assumptions!$D$12</x:f>
        <x:v>6336000</x:v>
      </x:c>
      <x:c r="U23" s="43" t="n">
        <x:f>U18*Assumptions!$D$12</x:f>
        <x:v>9504000</x:v>
      </x:c>
      <x:c r="V23" s="43" t="n">
        <x:f>V18*Assumptions!$D$12</x:f>
        <x:v>10560000</x:v>
      </x:c>
      <x:c r="W23" s="43" t="n">
        <x:f>W18*Assumptions!$D$12</x:f>
        <x:v>9504000</x:v>
      </x:c>
      <x:c r="X23" s="43" t="n">
        <x:f>X18*Assumptions!$D$12</x:f>
        <x:v>7392000</x:v>
      </x:c>
      <x:c r="Y23" s="43" t="n">
        <x:f>Y18*Assumptions!$D$12</x:f>
        <x:v>4752000</x:v>
      </x:c>
      <x:c r="Z23" s="43" t="n">
        <x:f>Z18*Assumptions!$D$12</x:f>
        <x:v>3696000</x:v>
      </x:c>
      <x:c r="AA23" s="43" t="n">
        <x:f>AA18*Assumptions!$D$12</x:f>
        <x:v>2640000</x:v>
      </x:c>
    </x:row>
    <x:row r="24" ht="21" customHeight="1">
      <x:c r="C24" s="2" t="str">
        <x:v>Tour delivery cost</x:v>
      </x:c>
      <x:c r="D24" s="38" t="n">
        <x:f>D23*Assumptions!$D$13</x:f>
        <x:v>0</x:v>
      </x:c>
      <x:c r="E24" s="38" t="n">
        <x:f>E23*Assumptions!$D$13</x:f>
        <x:v>0</x:v>
      </x:c>
      <x:c r="F24" s="38" t="n">
        <x:f>F23*Assumptions!$D$13</x:f>
        <x:v>0</x:v>
      </x:c>
      <x:c r="G24" s="38" t="n">
        <x:f>G23*Assumptions!$D$13</x:f>
        <x:v>266111.99999999994</x:v>
      </x:c>
      <x:c r="H24" s="38" t="n">
        <x:f>H23*Assumptions!$D$13</x:f>
        <x:v>443520</x:v>
      </x:c>
      <x:c r="I24" s="38" t="n">
        <x:f>I23*Assumptions!$D$13</x:f>
        <x:v>776160.0000000001</x:v>
      </x:c>
      <x:c r="J24" s="38" t="n">
        <x:f>J23*Assumptions!$D$13</x:f>
        <x:v>931391.9999999999</x:v>
      </x:c>
      <x:c r="K24" s="38" t="n">
        <x:f>K23*Assumptions!$D$13</x:f>
        <x:v>997919.9999999999</x:v>
      </x:c>
      <x:c r="L24" s="38" t="n">
        <x:f>L23*Assumptions!$D$13</x:f>
        <x:v>798336</x:v>
      </x:c>
      <x:c r="M24" s="38" t="n">
        <x:f>M23*Assumptions!$D$13</x:f>
        <x:v>554400</x:v>
      </x:c>
      <x:c r="N24" s="38" t="n">
        <x:f>N23*Assumptions!$D$13</x:f>
        <x:v>443520</x:v>
      </x:c>
      <x:c r="O24" s="38" t="n">
        <x:f>O23*Assumptions!$D$13</x:f>
        <x:v>332640</x:v>
      </x:c>
      <x:c r="P24" s="38" t="n">
        <x:f>P23*Assumptions!$D$13</x:f>
        <x:v>1478400</x:v>
      </x:c>
      <x:c r="Q24" s="38" t="n">
        <x:f>Q23*Assumptions!$D$13</x:f>
        <x:v>1478400</x:v>
      </x:c>
      <x:c r="R24" s="38" t="n">
        <x:f>R23*Assumptions!$D$13</x:f>
        <x:v>2217600</x:v>
      </x:c>
      <x:c r="S24" s="38" t="n">
        <x:f>S23*Assumptions!$D$13</x:f>
        <x:v>2956800</x:v>
      </x:c>
      <x:c r="T24" s="38" t="n">
        <x:f>T23*Assumptions!$D$13</x:f>
        <x:v>4435200</x:v>
      </x:c>
      <x:c r="U24" s="38" t="n">
        <x:f>U23*Assumptions!$D$13</x:f>
        <x:v>6652800</x:v>
      </x:c>
      <x:c r="V24" s="38" t="n">
        <x:f>V23*Assumptions!$D$13</x:f>
        <x:v>7391999.999999999</x:v>
      </x:c>
      <x:c r="W24" s="38" t="n">
        <x:f>W23*Assumptions!$D$13</x:f>
        <x:v>6652800</x:v>
      </x:c>
      <x:c r="X24" s="38" t="n">
        <x:f>X23*Assumptions!$D$13</x:f>
        <x:v>5174400</x:v>
      </x:c>
      <x:c r="Y24" s="38" t="n">
        <x:f>Y23*Assumptions!$D$13</x:f>
        <x:v>3326400</x:v>
      </x:c>
      <x:c r="Z24" s="38" t="n">
        <x:f>Z23*Assumptions!$D$13</x:f>
        <x:v>2587200</x:v>
      </x:c>
      <x:c r="AA24" s="38" t="n">
        <x:f>AA23*Assumptions!$D$13</x:f>
        <x:v>1847999.9999999998</x:v>
      </x:c>
    </x:row>
    <x:row r="25" ht="21" customHeight="1">
      <x:c r="C25" s="2" t="str">
        <x:v>Payment cost</x:v>
      </x:c>
      <x:c r="D25" s="38" t="n">
        <x:f>D23*Assumptions!$D$14</x:f>
        <x:v>0</x:v>
      </x:c>
      <x:c r="E25" s="38" t="n">
        <x:f>E23*Assumptions!$D$14</x:f>
        <x:v>0</x:v>
      </x:c>
      <x:c r="F25" s="38" t="n">
        <x:f>F23*Assumptions!$D$14</x:f>
        <x:v>0</x:v>
      </x:c>
      <x:c r="G25" s="38" t="n">
        <x:f>G23*Assumptions!$D$14</x:f>
        <x:v>11404.799999999997</x:v>
      </x:c>
      <x:c r="H25" s="38" t="n">
        <x:f>H23*Assumptions!$D$14</x:f>
        <x:v>19008</x:v>
      </x:c>
      <x:c r="I25" s="38" t="n">
        <x:f>I23*Assumptions!$D$14</x:f>
        <x:v>33264.00000000001</x:v>
      </x:c>
      <x:c r="J25" s="38" t="n">
        <x:f>J23*Assumptions!$D$14</x:f>
        <x:v>39916.799999999996</x:v>
      </x:c>
      <x:c r="K25" s="38" t="n">
        <x:f>K23*Assumptions!$D$14</x:f>
        <x:v>42768</x:v>
      </x:c>
      <x:c r="L25" s="38" t="n">
        <x:f>L23*Assumptions!$D$14</x:f>
        <x:v>34214.4</x:v>
      </x:c>
      <x:c r="M25" s="38" t="n">
        <x:f>M23*Assumptions!$D$14</x:f>
        <x:v>23760</x:v>
      </x:c>
      <x:c r="N25" s="38" t="n">
        <x:f>N23*Assumptions!$D$14</x:f>
        <x:v>19008</x:v>
      </x:c>
      <x:c r="O25" s="38" t="n">
        <x:f>O23*Assumptions!$D$14</x:f>
        <x:v>14256.000000000002</x:v>
      </x:c>
      <x:c r="P25" s="38" t="n">
        <x:f>P23*Assumptions!$D$14</x:f>
        <x:v>63360</x:v>
      </x:c>
      <x:c r="Q25" s="38" t="n">
        <x:f>Q23*Assumptions!$D$14</x:f>
        <x:v>63360</x:v>
      </x:c>
      <x:c r="R25" s="38" t="n">
        <x:f>R23*Assumptions!$D$14</x:f>
        <x:v>95040</x:v>
      </x:c>
      <x:c r="S25" s="38" t="n">
        <x:f>S23*Assumptions!$D$14</x:f>
        <x:v>126720</x:v>
      </x:c>
      <x:c r="T25" s="38" t="n">
        <x:f>T23*Assumptions!$D$14</x:f>
        <x:v>190080</x:v>
      </x:c>
      <x:c r="U25" s="38" t="n">
        <x:f>U23*Assumptions!$D$14</x:f>
        <x:v>285120</x:v>
      </x:c>
      <x:c r="V25" s="38" t="n">
        <x:f>V23*Assumptions!$D$14</x:f>
        <x:v>316800</x:v>
      </x:c>
      <x:c r="W25" s="38" t="n">
        <x:f>W23*Assumptions!$D$14</x:f>
        <x:v>285120</x:v>
      </x:c>
      <x:c r="X25" s="38" t="n">
        <x:f>X23*Assumptions!$D$14</x:f>
        <x:v>221760</x:v>
      </x:c>
      <x:c r="Y25" s="38" t="n">
        <x:f>Y23*Assumptions!$D$14</x:f>
        <x:v>142560</x:v>
      </x:c>
      <x:c r="Z25" s="38" t="n">
        <x:f>Z23*Assumptions!$D$14</x:f>
        <x:v>110880</x:v>
      </x:c>
      <x:c r="AA25" s="38" t="n">
        <x:f>AA23*Assumptions!$D$14</x:f>
        <x:v>79200</x:v>
      </x:c>
    </x:row>
    <x:row r="26" ht="21" customHeight="1">
      <x:c r="C26" s="2" t="str">
        <x:v>Variable service cost</x:v>
      </x:c>
      <x:c r="D26" s="38" t="n">
        <x:f>D18*Assumptions!$D$15</x:f>
        <x:v>0</x:v>
      </x:c>
      <x:c r="E26" s="38" t="n">
        <x:f>E18*Assumptions!$D$15</x:f>
        <x:v>0</x:v>
      </x:c>
      <x:c r="F26" s="38" t="n">
        <x:f>F18*Assumptions!$D$15</x:f>
        <x:v>0</x:v>
      </x:c>
      <x:c r="G26" s="38" t="n">
        <x:f>G18*Assumptions!$D$15</x:f>
        <x:v>3801.5999999999995</x:v>
      </x:c>
      <x:c r="H26" s="38" t="n">
        <x:f>H18*Assumptions!$D$15</x:f>
        <x:v>6336</x:v>
      </x:c>
      <x:c r="I26" s="38" t="n">
        <x:f>I18*Assumptions!$D$15</x:f>
        <x:v>11088.000000000002</x:v>
      </x:c>
      <x:c r="J26" s="38" t="n">
        <x:f>J18*Assumptions!$D$15</x:f>
        <x:v>13305.599999999999</x:v>
      </x:c>
      <x:c r="K26" s="38" t="n">
        <x:f>K18*Assumptions!$D$15</x:f>
        <x:v>14256</x:v>
      </x:c>
      <x:c r="L26" s="38" t="n">
        <x:f>L18*Assumptions!$D$15</x:f>
        <x:v>11404.800000000001</x:v>
      </x:c>
      <x:c r="M26" s="38" t="n">
        <x:f>M18*Assumptions!$D$15</x:f>
        <x:v>7920</x:v>
      </x:c>
      <x:c r="N26" s="38" t="n">
        <x:f>N18*Assumptions!$D$15</x:f>
        <x:v>6336</x:v>
      </x:c>
      <x:c r="O26" s="38" t="n">
        <x:f>O18*Assumptions!$D$15</x:f>
        <x:v>4752</x:v>
      </x:c>
      <x:c r="P26" s="38" t="n">
        <x:f>P18*Assumptions!$D$15</x:f>
        <x:v>21120</x:v>
      </x:c>
      <x:c r="Q26" s="38" t="n">
        <x:f>Q18*Assumptions!$D$15</x:f>
        <x:v>21120</x:v>
      </x:c>
      <x:c r="R26" s="38" t="n">
        <x:f>R18*Assumptions!$D$15</x:f>
        <x:v>31680</x:v>
      </x:c>
      <x:c r="S26" s="38" t="n">
        <x:f>S18*Assumptions!$D$15</x:f>
        <x:v>42240</x:v>
      </x:c>
      <x:c r="T26" s="38" t="n">
        <x:f>T18*Assumptions!$D$15</x:f>
        <x:v>63360</x:v>
      </x:c>
      <x:c r="U26" s="38" t="n">
        <x:f>U18*Assumptions!$D$15</x:f>
        <x:v>95040</x:v>
      </x:c>
      <x:c r="V26" s="38" t="n">
        <x:f>V18*Assumptions!$D$15</x:f>
        <x:v>105600</x:v>
      </x:c>
      <x:c r="W26" s="38" t="n">
        <x:f>W18*Assumptions!$D$15</x:f>
        <x:v>95040</x:v>
      </x:c>
      <x:c r="X26" s="38" t="n">
        <x:f>X18*Assumptions!$D$15</x:f>
        <x:v>73920</x:v>
      </x:c>
      <x:c r="Y26" s="38" t="n">
        <x:f>Y18*Assumptions!$D$15</x:f>
        <x:v>47520</x:v>
      </x:c>
      <x:c r="Z26" s="38" t="n">
        <x:f>Z18*Assumptions!$D$15</x:f>
        <x:v>36960</x:v>
      </x:c>
      <x:c r="AA26" s="38" t="n">
        <x:f>AA18*Assumptions!$D$15</x:f>
        <x:v>26400</x:v>
      </x:c>
    </x:row>
    <x:row r="27" ht="21" customHeight="1">
      <x:c r="C27" s="24" t="str">
        <x:v>Incremental contribution</x:v>
      </x:c>
      <x:c r="D27" s="28" t="n">
        <x:f>D23-SUM(D24:D26)</x:f>
        <x:v>0</x:v>
      </x:c>
      <x:c r="E27" s="28" t="n">
        <x:f>E23-SUM(E24:E26)</x:f>
        <x:v>0</x:v>
      </x:c>
      <x:c r="F27" s="28" t="n">
        <x:f>F23-SUM(F24:F26)</x:f>
        <x:v>0</x:v>
      </x:c>
      <x:c r="G27" s="28" t="n">
        <x:f>G23-SUM(G24:G26)</x:f>
        <x:v>98841.60000000003</x:v>
      </x:c>
      <x:c r="H27" s="28" t="n">
        <x:f>H23-SUM(H24:H26)</x:f>
        <x:v>164736</x:v>
      </x:c>
      <x:c r="I27" s="28" t="n">
        <x:f>I23-SUM(I24:I26)</x:f>
        <x:v>288288.0000000001</x:v>
      </x:c>
      <x:c r="J27" s="28" t="n">
        <x:f>J23-SUM(J24:J26)</x:f>
        <x:v>345945.6000000001</x:v>
      </x:c>
      <x:c r="K27" s="28" t="n">
        <x:f>K23-SUM(K24:K26)</x:f>
        <x:v>370656</x:v>
      </x:c>
      <x:c r="L27" s="28" t="n">
        <x:f>L23-SUM(L24:L26)</x:f>
        <x:v>296524.79999999993</x:v>
      </x:c>
      <x:c r="M27" s="28" t="n">
        <x:f>M23-SUM(M24:M26)</x:f>
        <x:v>205920</x:v>
      </x:c>
      <x:c r="N27" s="28" t="n">
        <x:f>N23-SUM(N24:N26)</x:f>
        <x:v>164736</x:v>
      </x:c>
      <x:c r="O27" s="28" t="n">
        <x:f>O23-SUM(O24:O26)</x:f>
        <x:v>123552.00000000006</x:v>
      </x:c>
      <x:c r="P27" s="28" t="n">
        <x:f>P23-SUM(P24:P26)</x:f>
        <x:v>549120</x:v>
      </x:c>
      <x:c r="Q27" s="28" t="n">
        <x:f>Q23-SUM(Q24:Q26)</x:f>
        <x:v>549120</x:v>
      </x:c>
      <x:c r="R27" s="28" t="n">
        <x:f>R23-SUM(R24:R26)</x:f>
        <x:v>823680</x:v>
      </x:c>
      <x:c r="S27" s="28" t="n">
        <x:f>S23-SUM(S24:S26)</x:f>
        <x:v>1098240</x:v>
      </x:c>
      <x:c r="T27" s="28" t="n">
        <x:f>T23-SUM(T24:T26)</x:f>
        <x:v>1647360</x:v>
      </x:c>
      <x:c r="U27" s="28" t="n">
        <x:f>U23-SUM(U24:U26)</x:f>
        <x:v>2471040</x:v>
      </x:c>
      <x:c r="V27" s="28" t="n">
        <x:f>V23-SUM(V24:V26)</x:f>
        <x:v>2745600.000000001</x:v>
      </x:c>
      <x:c r="W27" s="28" t="n">
        <x:f>W23-SUM(W24:W26)</x:f>
        <x:v>2471040</x:v>
      </x:c>
      <x:c r="X27" s="28" t="n">
        <x:f>X23-SUM(X24:X26)</x:f>
        <x:v>1921920</x:v>
      </x:c>
      <x:c r="Y27" s="28" t="n">
        <x:f>Y23-SUM(Y24:Y26)</x:f>
        <x:v>1235520</x:v>
      </x:c>
      <x:c r="Z27" s="28" t="n">
        <x:f>Z23-SUM(Z24:Z26)</x:f>
        <x:v>960960</x:v>
      </x:c>
      <x:c r="AA27" s="28" t="n">
        <x:f>AA23-SUM(AA24:AA26)</x:f>
        <x:v>686400.0000000002</x:v>
      </x:c>
    </x:row>
    <x:row r="28" ht="21" customHeight="1">
      <x:c r="C28" s="2" t="str">
        <x:v>Contribution per traveler</x:v>
      </x:c>
      <x:c r="D28" s="26" t="n">
        <x:f>IF(D18=0,0,D27/D18)</x:f>
        <x:v>0</x:v>
      </x:c>
      <x:c r="E28" s="26" t="n">
        <x:f>IF(E18=0,0,E27/E18)</x:f>
        <x:v>0</x:v>
      </x:c>
      <x:c r="F28" s="26" t="n">
        <x:f>IF(F18=0,0,F27/F18)</x:f>
        <x:v>0</x:v>
      </x:c>
      <x:c r="G28" s="26" t="n">
        <x:f>IF(G18=0,0,G27/G18)</x:f>
        <x:v>11440.000000000005</x:v>
      </x:c>
      <x:c r="H28" s="26" t="n">
        <x:f>IF(H18=0,0,H27/H18)</x:f>
        <x:v>11440</x:v>
      </x:c>
      <x:c r="I28" s="26" t="n">
        <x:f>IF(I18=0,0,I27/I18)</x:f>
        <x:v>11440.000000000004</x:v>
      </x:c>
      <x:c r="J28" s="26" t="n">
        <x:f>IF(J18=0,0,J27/J18)</x:f>
        <x:v>11440.000000000004</x:v>
      </x:c>
      <x:c r="K28" s="26" t="n">
        <x:f>IF(K18=0,0,K27/K18)</x:f>
        <x:v>11440</x:v>
      </x:c>
      <x:c r="L28" s="26" t="n">
        <x:f>IF(L18=0,0,L27/L18)</x:f>
        <x:v>11439.999999999996</x:v>
      </x:c>
      <x:c r="M28" s="26" t="n">
        <x:f>IF(M18=0,0,M27/M18)</x:f>
        <x:v>11440</x:v>
      </x:c>
      <x:c r="N28" s="26" t="n">
        <x:f>IF(N18=0,0,N27/N18)</x:f>
        <x:v>11440</x:v>
      </x:c>
      <x:c r="O28" s="26" t="n">
        <x:f>IF(O18=0,0,O27/O18)</x:f>
        <x:v>11440.000000000005</x:v>
      </x:c>
      <x:c r="P28" s="26" t="n">
        <x:f>IF(P18=0,0,P27/P18)</x:f>
        <x:v>11440</x:v>
      </x:c>
      <x:c r="Q28" s="26" t="n">
        <x:f>IF(Q18=0,0,Q27/Q18)</x:f>
        <x:v>11440</x:v>
      </x:c>
      <x:c r="R28" s="26" t="n">
        <x:f>IF(R18=0,0,R27/R18)</x:f>
        <x:v>11440</x:v>
      </x:c>
      <x:c r="S28" s="26" t="n">
        <x:f>IF(S18=0,0,S27/S18)</x:f>
        <x:v>11440</x:v>
      </x:c>
      <x:c r="T28" s="26" t="n">
        <x:f>IF(T18=0,0,T27/T18)</x:f>
        <x:v>11440</x:v>
      </x:c>
      <x:c r="U28" s="26" t="n">
        <x:f>IF(U18=0,0,U27/U18)</x:f>
        <x:v>11440</x:v>
      </x:c>
      <x:c r="V28" s="26" t="n">
        <x:f>IF(V18=0,0,V27/V18)</x:f>
        <x:v>11440.000000000004</x:v>
      </x:c>
      <x:c r="W28" s="26" t="n">
        <x:f>IF(W18=0,0,W27/W18)</x:f>
        <x:v>11440</x:v>
      </x:c>
      <x:c r="X28" s="26" t="n">
        <x:f>IF(X18=0,0,X27/X18)</x:f>
        <x:v>11440</x:v>
      </x:c>
      <x:c r="Y28" s="26" t="n">
        <x:f>IF(Y18=0,0,Y27/Y18)</x:f>
        <x:v>11440</x:v>
      </x:c>
      <x:c r="Z28" s="26" t="n">
        <x:f>IF(Z18=0,0,Z27/Z18)</x:f>
        <x:v>11440</x:v>
      </x:c>
      <x:c r="AA28" s="26" t="n">
        <x:f>IF(AA18=0,0,AA27/AA18)</x:f>
        <x:v>11440.000000000004</x:v>
      </x:c>
    </x:row>
    <x:row r="29" ht="21" customHeight="1">
      <x:c r="C29" s="2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  <x:c r="AA29" s="15"/>
    </x:row>
    <x:row r="30" ht="21" customHeight="1">
      <x:c r="C30" s="2" t="str">
        <x:v>Fixed project running cost</x:v>
      </x:c>
      <x:c r="D30" s="38" t="n">
        <x:f>Assumptions!$F$53*Assumptions!H61</x:f>
        <x:v>0</x:v>
      </x:c>
      <x:c r="E30" s="38" t="n">
        <x:f>Assumptions!$F$53*Assumptions!H62</x:f>
        <x:v>0</x:v>
      </x:c>
      <x:c r="F30" s="38" t="n">
        <x:f>Assumptions!$F$53*Assumptions!H63</x:f>
        <x:v>0</x:v>
      </x:c>
      <x:c r="G30" s="38" t="n">
        <x:f>Assumptions!$F$53*Assumptions!H64</x:f>
        <x:v>260000</x:v>
      </x:c>
      <x:c r="H30" s="38" t="n">
        <x:f>Assumptions!$F$53*Assumptions!H65</x:f>
        <x:v>260000</x:v>
      </x:c>
      <x:c r="I30" s="38" t="n">
        <x:f>Assumptions!$F$53*Assumptions!H66</x:f>
        <x:v>260000</x:v>
      </x:c>
      <x:c r="J30" s="38" t="n">
        <x:f>Assumptions!$F$53*Assumptions!H67</x:f>
        <x:v>260000</x:v>
      </x:c>
      <x:c r="K30" s="38" t="n">
        <x:f>Assumptions!$F$53*Assumptions!H68</x:f>
        <x:v>260000</x:v>
      </x:c>
      <x:c r="L30" s="38" t="n">
        <x:f>Assumptions!$F$53*Assumptions!H69</x:f>
        <x:v>260000</x:v>
      </x:c>
      <x:c r="M30" s="38" t="n">
        <x:f>Assumptions!$F$53*Assumptions!H70</x:f>
        <x:v>260000</x:v>
      </x:c>
      <x:c r="N30" s="38" t="n">
        <x:f>Assumptions!$F$53*Assumptions!H71</x:f>
        <x:v>260000</x:v>
      </x:c>
      <x:c r="O30" s="38" t="n">
        <x:f>Assumptions!$F$53*Assumptions!H72</x:f>
        <x:v>260000</x:v>
      </x:c>
      <x:c r="P30" s="38" t="n">
        <x:f>Assumptions!$F$53*Assumptions!H73</x:f>
        <x:v>260000</x:v>
      </x:c>
      <x:c r="Q30" s="38" t="n">
        <x:f>Assumptions!$F$53*Assumptions!H74</x:f>
        <x:v>260000</x:v>
      </x:c>
      <x:c r="R30" s="38" t="n">
        <x:f>Assumptions!$F$53*Assumptions!H75</x:f>
        <x:v>260000</x:v>
      </x:c>
      <x:c r="S30" s="38" t="n">
        <x:f>Assumptions!$F$53*Assumptions!H76</x:f>
        <x:v>260000</x:v>
      </x:c>
      <x:c r="T30" s="38" t="n">
        <x:f>Assumptions!$F$53*Assumptions!H77</x:f>
        <x:v>260000</x:v>
      </x:c>
      <x:c r="U30" s="38" t="n">
        <x:f>Assumptions!$F$53*Assumptions!H78</x:f>
        <x:v>260000</x:v>
      </x:c>
      <x:c r="V30" s="38" t="n">
        <x:f>Assumptions!$F$53*Assumptions!H79</x:f>
        <x:v>260000</x:v>
      </x:c>
      <x:c r="W30" s="38" t="n">
        <x:f>Assumptions!$F$53*Assumptions!H80</x:f>
        <x:v>260000</x:v>
      </x:c>
      <x:c r="X30" s="38" t="n">
        <x:f>Assumptions!$F$53*Assumptions!H81</x:f>
        <x:v>260000</x:v>
      </x:c>
      <x:c r="Y30" s="38" t="n">
        <x:f>Assumptions!$F$53*Assumptions!H82</x:f>
        <x:v>260000</x:v>
      </x:c>
      <x:c r="Z30" s="38" t="n">
        <x:f>Assumptions!$F$53*Assumptions!H83</x:f>
        <x:v>260000</x:v>
      </x:c>
      <x:c r="AA30" s="38" t="n">
        <x:f>Assumptions!$F$53*Assumptions!H84</x:f>
        <x:v>260000</x:v>
      </x:c>
    </x:row>
    <x:row r="31" ht="21" customHeight="1">
      <x:c r="C31" s="2" t="str">
        <x:v>Marketing</x:v>
      </x:c>
      <x:c r="D31" s="38" t="n">
        <x:f>Assumptions!I61</x:f>
        <x:v>0</x:v>
      </x:c>
      <x:c r="E31" s="38" t="n">
        <x:f>Assumptions!I62</x:f>
        <x:v>0</x:v>
      </x:c>
      <x:c r="F31" s="38" t="n">
        <x:f>Assumptions!I63</x:f>
        <x:v>0</x:v>
      </x:c>
      <x:c r="G31" s="38" t="n">
        <x:f>Assumptions!I64</x:f>
        <x:v>200000</x:v>
      </x:c>
      <x:c r="H31" s="38" t="n">
        <x:f>Assumptions!I65</x:f>
        <x:v>200000</x:v>
      </x:c>
      <x:c r="I31" s="38" t="n">
        <x:f>Assumptions!I66</x:f>
        <x:v>200000</x:v>
      </x:c>
      <x:c r="J31" s="38" t="n">
        <x:f>Assumptions!I67</x:f>
        <x:v>200000</x:v>
      </x:c>
      <x:c r="K31" s="38" t="n">
        <x:f>Assumptions!I68</x:f>
        <x:v>200000</x:v>
      </x:c>
      <x:c r="L31" s="38" t="n">
        <x:f>Assumptions!I69</x:f>
        <x:v>200000</x:v>
      </x:c>
      <x:c r="M31" s="38" t="n">
        <x:f>Assumptions!I70</x:f>
        <x:v>200000</x:v>
      </x:c>
      <x:c r="N31" s="38" t="n">
        <x:f>Assumptions!I71</x:f>
        <x:v>200000</x:v>
      </x:c>
      <x:c r="O31" s="38" t="n">
        <x:f>Assumptions!I72</x:f>
        <x:v>200000</x:v>
      </x:c>
      <x:c r="P31" s="38" t="n">
        <x:f>Assumptions!I73</x:f>
        <x:v>200000</x:v>
      </x:c>
      <x:c r="Q31" s="38" t="n">
        <x:f>Assumptions!I74</x:f>
        <x:v>200000</x:v>
      </x:c>
      <x:c r="R31" s="38" t="n">
        <x:f>Assumptions!I75</x:f>
        <x:v>200000</x:v>
      </x:c>
      <x:c r="S31" s="38" t="n">
        <x:f>Assumptions!I76</x:f>
        <x:v>200000</x:v>
      </x:c>
      <x:c r="T31" s="38" t="n">
        <x:f>Assumptions!I77</x:f>
        <x:v>200000</x:v>
      </x:c>
      <x:c r="U31" s="38" t="n">
        <x:f>Assumptions!I78</x:f>
        <x:v>200000</x:v>
      </x:c>
      <x:c r="V31" s="38" t="n">
        <x:f>Assumptions!I79</x:f>
        <x:v>200000</x:v>
      </x:c>
      <x:c r="W31" s="38" t="n">
        <x:f>Assumptions!I80</x:f>
        <x:v>200000</x:v>
      </x:c>
      <x:c r="X31" s="38" t="n">
        <x:f>Assumptions!I81</x:f>
        <x:v>200000</x:v>
      </x:c>
      <x:c r="Y31" s="38" t="n">
        <x:f>Assumptions!I82</x:f>
        <x:v>200000</x:v>
      </x:c>
      <x:c r="Z31" s="38" t="n">
        <x:f>Assumptions!I83</x:f>
        <x:v>200000</x:v>
      </x:c>
      <x:c r="AA31" s="38" t="n">
        <x:f>Assumptions!I84</x:f>
        <x:v>200000</x:v>
      </x:c>
    </x:row>
    <x:row r="32" ht="21" customHeight="1">
      <x:c r="C32" s="2" t="str">
        <x:v>Initial work cash outflow</x:v>
      </x:c>
      <x:c r="D32" s="38" t="n">
        <x:f>Assumptions!$F$44*Assumptions!G61</x:f>
        <x:v>2334000</x:v>
      </x:c>
      <x:c r="E32" s="38" t="n">
        <x:f>Assumptions!$F$44*Assumptions!G62</x:f>
        <x:v>3112000</x:v>
      </x:c>
      <x:c r="F32" s="38" t="n">
        <x:f>Assumptions!$F$44*Assumptions!G63</x:f>
        <x:v>2334000</x:v>
      </x:c>
      <x:c r="G32" s="38" t="n">
        <x:f>Assumptions!$F$44*Assumptions!G64</x:f>
        <x:v>0</x:v>
      </x:c>
      <x:c r="H32" s="38" t="n">
        <x:f>Assumptions!$F$44*Assumptions!G65</x:f>
        <x:v>0</x:v>
      </x:c>
      <x:c r="I32" s="38" t="n">
        <x:f>Assumptions!$F$44*Assumptions!G66</x:f>
        <x:v>0</x:v>
      </x:c>
      <x:c r="J32" s="38" t="n">
        <x:f>Assumptions!$F$44*Assumptions!G67</x:f>
        <x:v>0</x:v>
      </x:c>
      <x:c r="K32" s="38" t="n">
        <x:f>Assumptions!$F$44*Assumptions!G68</x:f>
        <x:v>0</x:v>
      </x:c>
      <x:c r="L32" s="38" t="n">
        <x:f>Assumptions!$F$44*Assumptions!G69</x:f>
        <x:v>0</x:v>
      </x:c>
      <x:c r="M32" s="38" t="n">
        <x:f>Assumptions!$F$44*Assumptions!G70</x:f>
        <x:v>0</x:v>
      </x:c>
      <x:c r="N32" s="38" t="n">
        <x:f>Assumptions!$F$44*Assumptions!G71</x:f>
        <x:v>0</x:v>
      </x:c>
      <x:c r="O32" s="38" t="n">
        <x:f>Assumptions!$F$44*Assumptions!G72</x:f>
        <x:v>0</x:v>
      </x:c>
      <x:c r="P32" s="38" t="n">
        <x:f>Assumptions!$F$44*Assumptions!G73</x:f>
        <x:v>0</x:v>
      </x:c>
      <x:c r="Q32" s="38" t="n">
        <x:f>Assumptions!$F$44*Assumptions!G74</x:f>
        <x:v>0</x:v>
      </x:c>
      <x:c r="R32" s="38" t="n">
        <x:f>Assumptions!$F$44*Assumptions!G75</x:f>
        <x:v>0</x:v>
      </x:c>
      <x:c r="S32" s="38" t="n">
        <x:f>Assumptions!$F$44*Assumptions!G76</x:f>
        <x:v>0</x:v>
      </x:c>
      <x:c r="T32" s="38" t="n">
        <x:f>Assumptions!$F$44*Assumptions!G77</x:f>
        <x:v>0</x:v>
      </x:c>
      <x:c r="U32" s="38" t="n">
        <x:f>Assumptions!$F$44*Assumptions!G78</x:f>
        <x:v>0</x:v>
      </x:c>
      <x:c r="V32" s="38" t="n">
        <x:f>Assumptions!$F$44*Assumptions!G79</x:f>
        <x:v>0</x:v>
      </x:c>
      <x:c r="W32" s="38" t="n">
        <x:f>Assumptions!$F$44*Assumptions!G80</x:f>
        <x:v>0</x:v>
      </x:c>
      <x:c r="X32" s="38" t="n">
        <x:f>Assumptions!$F$44*Assumptions!G81</x:f>
        <x:v>0</x:v>
      </x:c>
      <x:c r="Y32" s="38" t="n">
        <x:f>Assumptions!$F$44*Assumptions!G82</x:f>
        <x:v>0</x:v>
      </x:c>
      <x:c r="Z32" s="38" t="n">
        <x:f>Assumptions!$F$44*Assumptions!G83</x:f>
        <x:v>0</x:v>
      </x:c>
      <x:c r="AA32" s="38" t="n">
        <x:f>Assumptions!$F$44*Assumptions!G84</x:f>
        <x:v>0</x:v>
      </x:c>
    </x:row>
    <x:row r="33" ht="21" customHeight="1">
      <x:c r="C33" s="2" t="str">
        <x:v>Contingency cash provision</x:v>
      </x:c>
      <x:c r="D33" s="26" t="n">
        <x:f>0</x:f>
        <x:v>0</x:v>
      </x:c>
      <x:c r="E33" s="26" t="n">
        <x:f>0</x:f>
        <x:v>0</x:v>
      </x:c>
      <x:c r="F33" s="38" t="n">
        <x:f>Assumptions!$D$57</x:f>
        <x:v>1518000</x:v>
      </x:c>
      <x:c r="G33" s="26" t="n">
        <x:f>0</x:f>
        <x:v>0</x:v>
      </x:c>
      <x:c r="H33" s="26" t="n">
        <x:f>0</x:f>
        <x:v>0</x:v>
      </x:c>
      <x:c r="I33" s="26" t="n">
        <x:f>0</x:f>
        <x:v>0</x:v>
      </x:c>
      <x:c r="J33" s="26" t="n">
        <x:f>0</x:f>
        <x:v>0</x:v>
      </x:c>
      <x:c r="K33" s="26" t="n">
        <x:f>0</x:f>
        <x:v>0</x:v>
      </x:c>
      <x:c r="L33" s="26" t="n">
        <x:f>0</x:f>
        <x:v>0</x:v>
      </x:c>
      <x:c r="M33" s="26" t="n">
        <x:f>0</x:f>
        <x:v>0</x:v>
      </x:c>
      <x:c r="N33" s="26" t="n">
        <x:f>0</x:f>
        <x:v>0</x:v>
      </x:c>
      <x:c r="O33" s="26" t="n">
        <x:f>0</x:f>
        <x:v>0</x:v>
      </x:c>
      <x:c r="P33" s="26" t="n">
        <x:f>0</x:f>
        <x:v>0</x:v>
      </x:c>
      <x:c r="Q33" s="26" t="n">
        <x:f>0</x:f>
        <x:v>0</x:v>
      </x:c>
      <x:c r="R33" s="26" t="n">
        <x:f>0</x:f>
        <x:v>0</x:v>
      </x:c>
      <x:c r="S33" s="26" t="n">
        <x:f>0</x:f>
        <x:v>0</x:v>
      </x:c>
      <x:c r="T33" s="26" t="n">
        <x:f>0</x:f>
        <x:v>0</x:v>
      </x:c>
      <x:c r="U33" s="26" t="n">
        <x:f>0</x:f>
        <x:v>0</x:v>
      </x:c>
      <x:c r="V33" s="26" t="n">
        <x:f>0</x:f>
        <x:v>0</x:v>
      </x:c>
      <x:c r="W33" s="26" t="n">
        <x:f>0</x:f>
        <x:v>0</x:v>
      </x:c>
      <x:c r="X33" s="26" t="n">
        <x:f>0</x:f>
        <x:v>0</x:v>
      </x:c>
      <x:c r="Y33" s="26" t="n">
        <x:f>0</x:f>
        <x:v>0</x:v>
      </x:c>
      <x:c r="Z33" s="26" t="n">
        <x:f>0</x:f>
        <x:v>0</x:v>
      </x:c>
      <x:c r="AA33" s="26" t="n">
        <x:f>0</x:f>
        <x:v>0</x:v>
      </x:c>
    </x:row>
    <x:row r="34" ht="21" customHeight="1">
      <x:c r="C34" s="24" t="str">
        <x:v>Incremental project cash flow</x:v>
      </x:c>
      <x:c r="D34" s="28" t="n">
        <x:f>D27-SUM(D30:D33)</x:f>
        <x:v>-2334000</x:v>
      </x:c>
      <x:c r="E34" s="28" t="n">
        <x:f>E27-SUM(E30:E33)</x:f>
        <x:v>-3112000</x:v>
      </x:c>
      <x:c r="F34" s="28" t="n">
        <x:f>F27-SUM(F30:F33)</x:f>
        <x:v>-3852000</x:v>
      </x:c>
      <x:c r="G34" s="28" t="n">
        <x:f>G27-SUM(G30:G33)</x:f>
        <x:v>-361158.39999999997</x:v>
      </x:c>
      <x:c r="H34" s="28" t="n">
        <x:f>H27-SUM(H30:H33)</x:f>
        <x:v>-295264</x:v>
      </x:c>
      <x:c r="I34" s="28" t="n">
        <x:f>I27-SUM(I30:I33)</x:f>
        <x:v>-171711.99999999988</x:v>
      </x:c>
      <x:c r="J34" s="28" t="n">
        <x:f>J27-SUM(J30:J33)</x:f>
        <x:v>-114054.3999999999</x:v>
      </x:c>
      <x:c r="K34" s="28" t="n">
        <x:f>K27-SUM(K30:K33)</x:f>
        <x:v>-89344</x:v>
      </x:c>
      <x:c r="L34" s="28" t="n">
        <x:f>L27-SUM(L30:L33)</x:f>
        <x:v>-163475.20000000007</x:v>
      </x:c>
      <x:c r="M34" s="28" t="n">
        <x:f>M27-SUM(M30:M33)</x:f>
        <x:v>-254080</x:v>
      </x:c>
      <x:c r="N34" s="28" t="n">
        <x:f>N27-SUM(N30:N33)</x:f>
        <x:v>-295264</x:v>
      </x:c>
      <x:c r="O34" s="28" t="n">
        <x:f>O27-SUM(O30:O33)</x:f>
        <x:v>-336447.99999999994</x:v>
      </x:c>
      <x:c r="P34" s="28" t="n">
        <x:f>P27-SUM(P30:P33)</x:f>
        <x:v>89120</x:v>
      </x:c>
      <x:c r="Q34" s="28" t="n">
        <x:f>Q27-SUM(Q30:Q33)</x:f>
        <x:v>89120</x:v>
      </x:c>
      <x:c r="R34" s="28" t="n">
        <x:f>R27-SUM(R30:R33)</x:f>
        <x:v>363680</x:v>
      </x:c>
      <x:c r="S34" s="28" t="n">
        <x:f>S27-SUM(S30:S33)</x:f>
        <x:v>638240</x:v>
      </x:c>
      <x:c r="T34" s="28" t="n">
        <x:f>T27-SUM(T30:T33)</x:f>
        <x:v>1187360</x:v>
      </x:c>
      <x:c r="U34" s="28" t="n">
        <x:f>U27-SUM(U30:U33)</x:f>
        <x:v>2011040</x:v>
      </x:c>
      <x:c r="V34" s="28" t="n">
        <x:f>V27-SUM(V30:V33)</x:f>
        <x:v>2285600.000000001</x:v>
      </x:c>
      <x:c r="W34" s="28" t="n">
        <x:f>W27-SUM(W30:W33)</x:f>
        <x:v>2011040</x:v>
      </x:c>
      <x:c r="X34" s="28" t="n">
        <x:f>X27-SUM(X30:X33)</x:f>
        <x:v>1461920</x:v>
      </x:c>
      <x:c r="Y34" s="28" t="n">
        <x:f>Y27-SUM(Y30:Y33)</x:f>
        <x:v>775520</x:v>
      </x:c>
      <x:c r="Z34" s="28" t="n">
        <x:f>Z27-SUM(Z30:Z33)</x:f>
        <x:v>500960</x:v>
      </x:c>
      <x:c r="AA34" s="28" t="n">
        <x:f>AA27-SUM(AA30:AA33)</x:f>
        <x:v>226400.00000000023</x:v>
      </x:c>
    </x:row>
    <x:row r="35" ht="21" customHeight="1">
      <x:c r="C35" s="24" t="str">
        <x:v>Cumulative project cash flow</x:v>
      </x:c>
      <x:c r="D35" s="28" t="n">
        <x:f>D34</x:f>
        <x:v>-2334000</x:v>
      </x:c>
      <x:c r="E35" s="28" t="n">
        <x:f>D35+E34</x:f>
        <x:v>-5446000</x:v>
      </x:c>
      <x:c r="F35" s="28" t="n">
        <x:f>E35+F34</x:f>
        <x:v>-9298000</x:v>
      </x:c>
      <x:c r="G35" s="28" t="n">
        <x:f>F35+G34</x:f>
        <x:v>-9659158.4</x:v>
      </x:c>
      <x:c r="H35" s="28" t="n">
        <x:f>G35+H34</x:f>
        <x:v>-9954422.4</x:v>
      </x:c>
      <x:c r="I35" s="28" t="n">
        <x:f>H35+I34</x:f>
        <x:v>-10126134.4</x:v>
      </x:c>
      <x:c r="J35" s="28" t="n">
        <x:f>I35+J34</x:f>
        <x:v>-10240188.8</x:v>
      </x:c>
      <x:c r="K35" s="28" t="n">
        <x:f>J35+K34</x:f>
        <x:v>-10329532.8</x:v>
      </x:c>
      <x:c r="L35" s="28" t="n">
        <x:f>K35+L34</x:f>
        <x:v>-10493008</x:v>
      </x:c>
      <x:c r="M35" s="28" t="n">
        <x:f>L35+M34</x:f>
        <x:v>-10747088</x:v>
      </x:c>
      <x:c r="N35" s="28" t="n">
        <x:f>M35+N34</x:f>
        <x:v>-11042352</x:v>
      </x:c>
      <x:c r="O35" s="28" t="n">
        <x:f>N35+O34</x:f>
        <x:v>-11378800</x:v>
      </x:c>
      <x:c r="P35" s="28" t="n">
        <x:f>O35+P34</x:f>
        <x:v>-11289680</x:v>
      </x:c>
      <x:c r="Q35" s="28" t="n">
        <x:f>P35+Q34</x:f>
        <x:v>-11200560</x:v>
      </x:c>
      <x:c r="R35" s="28" t="n">
        <x:f>Q35+R34</x:f>
        <x:v>-10836880</x:v>
      </x:c>
      <x:c r="S35" s="28" t="n">
        <x:f>R35+S34</x:f>
        <x:v>-10198640</x:v>
      </x:c>
      <x:c r="T35" s="28" t="n">
        <x:f>S35+T34</x:f>
        <x:v>-9011280</x:v>
      </x:c>
      <x:c r="U35" s="28" t="n">
        <x:f>T35+U34</x:f>
        <x:v>-7000240</x:v>
      </x:c>
      <x:c r="V35" s="28" t="n">
        <x:f>U35+V34</x:f>
        <x:v>-4714639.999999999</x:v>
      </x:c>
      <x:c r="W35" s="28" t="n">
        <x:f>V35+W34</x:f>
        <x:v>-2703599.999999999</x:v>
      </x:c>
      <x:c r="X35" s="28" t="n">
        <x:f>W35+X34</x:f>
        <x:v>-1241679.999999999</x:v>
      </x:c>
      <x:c r="Y35" s="28" t="n">
        <x:f>X35+Y34</x:f>
        <x:v>-466159.99999999907</x:v>
      </x:c>
      <x:c r="Z35" s="28" t="n">
        <x:f>Y35+Z34</x:f>
        <x:v>34800.00000000093</x:v>
      </x:c>
      <x:c r="AA35" s="28" t="n">
        <x:f>Z35+AA34</x:f>
        <x:v>261200.00000000116</x:v>
      </x:c>
    </x:row>
    <x:row r="36" ht="21" customHeight="1">
      <x:c r="C36" s="24" t="str">
        <x:v>Funding required</x:v>
      </x:c>
      <x:c r="D36" s="28" t="n">
        <x:f>MAX(0,-D35)</x:f>
        <x:v>2334000</x:v>
      </x:c>
      <x:c r="E36" s="28" t="n">
        <x:f>MAX(0,-E35)</x:f>
        <x:v>5446000</x:v>
      </x:c>
      <x:c r="F36" s="28" t="n">
        <x:f>MAX(0,-F35)</x:f>
        <x:v>9298000</x:v>
      </x:c>
      <x:c r="G36" s="28" t="n">
        <x:f>MAX(0,-G35)</x:f>
        <x:v>9659158.4</x:v>
      </x:c>
      <x:c r="H36" s="28" t="n">
        <x:f>MAX(0,-H35)</x:f>
        <x:v>9954422.4</x:v>
      </x:c>
      <x:c r="I36" s="28" t="n">
        <x:f>MAX(0,-I35)</x:f>
        <x:v>10126134.4</x:v>
      </x:c>
      <x:c r="J36" s="28" t="n">
        <x:f>MAX(0,-J35)</x:f>
        <x:v>10240188.8</x:v>
      </x:c>
      <x:c r="K36" s="28" t="n">
        <x:f>MAX(0,-K35)</x:f>
        <x:v>10329532.8</x:v>
      </x:c>
      <x:c r="L36" s="28" t="n">
        <x:f>MAX(0,-L35)</x:f>
        <x:v>10493008</x:v>
      </x:c>
      <x:c r="M36" s="28" t="n">
        <x:f>MAX(0,-M35)</x:f>
        <x:v>10747088</x:v>
      </x:c>
      <x:c r="N36" s="28" t="n">
        <x:f>MAX(0,-N35)</x:f>
        <x:v>11042352</x:v>
      </x:c>
      <x:c r="O36" s="28" t="n">
        <x:f>MAX(0,-O35)</x:f>
        <x:v>11378800</x:v>
      </x:c>
      <x:c r="P36" s="28" t="n">
        <x:f>MAX(0,-P35)</x:f>
        <x:v>11289680</x:v>
      </x:c>
      <x:c r="Q36" s="28" t="n">
        <x:f>MAX(0,-Q35)</x:f>
        <x:v>11200560</x:v>
      </x:c>
      <x:c r="R36" s="28" t="n">
        <x:f>MAX(0,-R35)</x:f>
        <x:v>10836880</x:v>
      </x:c>
      <x:c r="S36" s="28" t="n">
        <x:f>MAX(0,-S35)</x:f>
        <x:v>10198640</x:v>
      </x:c>
      <x:c r="T36" s="28" t="n">
        <x:f>MAX(0,-T35)</x:f>
        <x:v>9011280</x:v>
      </x:c>
      <x:c r="U36" s="28" t="n">
        <x:f>MAX(0,-U35)</x:f>
        <x:v>7000240</x:v>
      </x:c>
      <x:c r="V36" s="28" t="n">
        <x:f>MAX(0,-V35)</x:f>
        <x:v>4714639.999999999</x:v>
      </x:c>
      <x:c r="W36" s="28" t="n">
        <x:f>MAX(0,-W35)</x:f>
        <x:v>2703599.999999999</x:v>
      </x:c>
      <x:c r="X36" s="28" t="n">
        <x:f>MAX(0,-X35)</x:f>
        <x:v>1241679.999999999</x:v>
      </x:c>
      <x:c r="Y36" s="28" t="n">
        <x:f>MAX(0,-Y35)</x:f>
        <x:v>466159.99999999907</x:v>
      </x:c>
      <x:c r="Z36" s="28" t="n">
        <x:f>MAX(0,-Z35)</x:f>
        <x:v>0</x:v>
      </x:c>
      <x:c r="AA36" s="28" t="n">
        <x:f>MAX(0,-AA35)</x:f>
        <x:v>0</x:v>
      </x:c>
    </x:row>
    <x:row r="37" ht="21" customHeight="1">
      <x:c r="C37" s="2" t="str">
        <x:v>Payback candidate month (999 = none)</x:v>
      </x:c>
      <x:c r="D37" s="26" t="n">
        <x:f>IF(D35&gt;=0,1,999)</x:f>
        <x:v>999</x:v>
      </x:c>
      <x:c r="E37" s="26" t="n">
        <x:f>IF(E35&gt;=0,2,999)</x:f>
        <x:v>999</x:v>
      </x:c>
      <x:c r="F37" s="26" t="n">
        <x:f>IF(F35&gt;=0,3,999)</x:f>
        <x:v>999</x:v>
      </x:c>
      <x:c r="G37" s="26" t="n">
        <x:f>IF(G35&gt;=0,4,999)</x:f>
        <x:v>999</x:v>
      </x:c>
      <x:c r="H37" s="26" t="n">
        <x:f>IF(H35&gt;=0,5,999)</x:f>
        <x:v>999</x:v>
      </x:c>
      <x:c r="I37" s="26" t="n">
        <x:f>IF(I35&gt;=0,6,999)</x:f>
        <x:v>999</x:v>
      </x:c>
      <x:c r="J37" s="26" t="n">
        <x:f>IF(J35&gt;=0,7,999)</x:f>
        <x:v>999</x:v>
      </x:c>
      <x:c r="K37" s="26" t="n">
        <x:f>IF(K35&gt;=0,8,999)</x:f>
        <x:v>999</x:v>
      </x:c>
      <x:c r="L37" s="26" t="n">
        <x:f>IF(L35&gt;=0,9,999)</x:f>
        <x:v>999</x:v>
      </x:c>
      <x:c r="M37" s="26" t="n">
        <x:f>IF(M35&gt;=0,10,999)</x:f>
        <x:v>999</x:v>
      </x:c>
      <x:c r="N37" s="26" t="n">
        <x:f>IF(N35&gt;=0,11,999)</x:f>
        <x:v>999</x:v>
      </x:c>
      <x:c r="O37" s="26" t="n">
        <x:f>IF(O35&gt;=0,12,999)</x:f>
        <x:v>999</x:v>
      </x:c>
      <x:c r="P37" s="26" t="n">
        <x:f>IF(P35&gt;=0,13,999)</x:f>
        <x:v>999</x:v>
      </x:c>
      <x:c r="Q37" s="26" t="n">
        <x:f>IF(Q35&gt;=0,14,999)</x:f>
        <x:v>999</x:v>
      </x:c>
      <x:c r="R37" s="26" t="n">
        <x:f>IF(R35&gt;=0,15,999)</x:f>
        <x:v>999</x:v>
      </x:c>
      <x:c r="S37" s="26" t="n">
        <x:f>IF(S35&gt;=0,16,999)</x:f>
        <x:v>999</x:v>
      </x:c>
      <x:c r="T37" s="26" t="n">
        <x:f>IF(T35&gt;=0,17,999)</x:f>
        <x:v>999</x:v>
      </x:c>
      <x:c r="U37" s="26" t="n">
        <x:f>IF(U35&gt;=0,18,999)</x:f>
        <x:v>999</x:v>
      </x:c>
      <x:c r="V37" s="26" t="n">
        <x:f>IF(V35&gt;=0,19,999)</x:f>
        <x:v>999</x:v>
      </x:c>
      <x:c r="W37" s="26" t="n">
        <x:f>IF(W35&gt;=0,20,999)</x:f>
        <x:v>999</x:v>
      </x:c>
      <x:c r="X37" s="26" t="n">
        <x:f>IF(X35&gt;=0,21,999)</x:f>
        <x:v>999</x:v>
      </x:c>
      <x:c r="Y37" s="26" t="n">
        <x:f>IF(Y35&gt;=0,22,999)</x:f>
        <x:v>999</x:v>
      </x:c>
      <x:c r="Z37" s="26" t="n">
        <x:f>IF(Z35&gt;=0,23,999)</x:f>
        <x:v>23</x:v>
      </x:c>
      <x:c r="AA37" s="26" t="n">
        <x:f>IF(AA35&gt;=0,24,999)</x:f>
        <x:v>24</x:v>
      </x:c>
    </x:row>
    <x:row r="38" ht="21" customHeight="1">
      <x:c r="C38" s="24" t="str">
        <x:v>Gross cash uses</x:v>
      </x:c>
      <x:c r="D38" s="28" t="n">
        <x:f>SUM(D24:D26)+SUM(D30:D33)</x:f>
        <x:v>2334000</x:v>
      </x:c>
      <x:c r="E38" s="28" t="n">
        <x:f>SUM(E24:E26)+SUM(E30:E33)</x:f>
        <x:v>3112000</x:v>
      </x:c>
      <x:c r="F38" s="28" t="n">
        <x:f>SUM(F24:F26)+SUM(F30:F33)</x:f>
        <x:v>3852000</x:v>
      </x:c>
      <x:c r="G38" s="28" t="n">
        <x:f>SUM(G24:G26)+SUM(G30:G33)</x:f>
        <x:v>741318.3999999999</x:v>
      </x:c>
      <x:c r="H38" s="28" t="n">
        <x:f>SUM(H24:H26)+SUM(H30:H33)</x:f>
        <x:v>928864</x:v>
      </x:c>
      <x:c r="I38" s="28" t="n">
        <x:f>SUM(I24:I26)+SUM(I30:I33)</x:f>
        <x:v>1280512</x:v>
      </x:c>
      <x:c r="J38" s="28" t="n">
        <x:f>SUM(J24:J26)+SUM(J30:J33)</x:f>
        <x:v>1444614.4</x:v>
      </x:c>
      <x:c r="K38" s="28" t="n">
        <x:f>SUM(K24:K26)+SUM(K30:K33)</x:f>
        <x:v>1514944</x:v>
      </x:c>
      <x:c r="L38" s="28" t="n">
        <x:f>SUM(L24:L26)+SUM(L30:L33)</x:f>
        <x:v>1303955.2000000002</x:v>
      </x:c>
      <x:c r="M38" s="28" t="n">
        <x:f>SUM(M24:M26)+SUM(M30:M33)</x:f>
        <x:v>1046080</x:v>
      </x:c>
      <x:c r="N38" s="28" t="n">
        <x:f>SUM(N24:N26)+SUM(N30:N33)</x:f>
        <x:v>928864</x:v>
      </x:c>
      <x:c r="O38" s="28" t="n">
        <x:f>SUM(O24:O26)+SUM(O30:O33)</x:f>
        <x:v>811648</x:v>
      </x:c>
      <x:c r="P38" s="28" t="n">
        <x:f>SUM(P24:P26)+SUM(P30:P33)</x:f>
        <x:v>2022880</x:v>
      </x:c>
      <x:c r="Q38" s="28" t="n">
        <x:f>SUM(Q24:Q26)+SUM(Q30:Q33)</x:f>
        <x:v>2022880</x:v>
      </x:c>
      <x:c r="R38" s="28" t="n">
        <x:f>SUM(R24:R26)+SUM(R30:R33)</x:f>
        <x:v>2804320</x:v>
      </x:c>
      <x:c r="S38" s="28" t="n">
        <x:f>SUM(S24:S26)+SUM(S30:S33)</x:f>
        <x:v>3585760</x:v>
      </x:c>
      <x:c r="T38" s="28" t="n">
        <x:f>SUM(T24:T26)+SUM(T30:T33)</x:f>
        <x:v>5148640</x:v>
      </x:c>
      <x:c r="U38" s="28" t="n">
        <x:f>SUM(U24:U26)+SUM(U30:U33)</x:f>
        <x:v>7492960</x:v>
      </x:c>
      <x:c r="V38" s="28" t="n">
        <x:f>SUM(V24:V26)+SUM(V30:V33)</x:f>
        <x:v>8274399.999999999</x:v>
      </x:c>
      <x:c r="W38" s="28" t="n">
        <x:f>SUM(W24:W26)+SUM(W30:W33)</x:f>
        <x:v>7492960</x:v>
      </x:c>
      <x:c r="X38" s="28" t="n">
        <x:f>SUM(X24:X26)+SUM(X30:X33)</x:f>
        <x:v>5930080</x:v>
      </x:c>
      <x:c r="Y38" s="28" t="n">
        <x:f>SUM(Y24:Y26)+SUM(Y30:Y33)</x:f>
        <x:v>3976480</x:v>
      </x:c>
      <x:c r="Z38" s="28" t="n">
        <x:f>SUM(Z24:Z26)+SUM(Z30:Z33)</x:f>
        <x:v>3195040</x:v>
      </x:c>
      <x:c r="AA38" s="28" t="n">
        <x:f>SUM(AA24:AA26)+SUM(AA30:AA33)</x:f>
        <x:v>2413600</x:v>
      </x:c>
    </x:row>
    <x:row r="39" ht="21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21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 ht="21" customHeight="1">
      <x:c r="C41" s="2" t="str">
        <x:v>Legacy seasonal travelers</x:v>
      </x:c>
      <x:c r="D41" s="36" t="n">
        <x:f>Assumptions!$D$24*Assumptions!F61</x:f>
        <x:v>102</x:v>
      </x:c>
      <x:c r="E41" s="36" t="n">
        <x:f>Assumptions!$D$24*Assumptions!F62</x:f>
        <x:v>102</x:v>
      </x:c>
      <x:c r="F41" s="36" t="n">
        <x:f>Assumptions!$D$24*Assumptions!F63</x:f>
        <x:v>136</x:v>
      </x:c>
      <x:c r="G41" s="36" t="n">
        <x:f>Assumptions!$D$24*Assumptions!F64</x:f>
        <x:v>238.00000000000003</x:v>
      </x:c>
      <x:c r="H41" s="36" t="n">
        <x:f>Assumptions!$D$24*Assumptions!F65</x:f>
        <x:v>340</x:v>
      </x:c>
      <x:c r="I41" s="36" t="n">
        <x:f>Assumptions!$D$24*Assumptions!F66</x:f>
        <x:v>408</x:v>
      </x:c>
      <x:c r="J41" s="36" t="n">
        <x:f>Assumptions!$D$24*Assumptions!F67</x:f>
        <x:v>510</x:v>
      </x:c>
      <x:c r="K41" s="36" t="n">
        <x:f>Assumptions!$D$24*Assumptions!F68</x:f>
        <x:v>510</x:v>
      </x:c>
      <x:c r="L41" s="36" t="n">
        <x:f>Assumptions!$D$24*Assumptions!F69</x:f>
        <x:v>408</x:v>
      </x:c>
      <x:c r="M41" s="36" t="n">
        <x:f>Assumptions!$D$24*Assumptions!F70</x:f>
        <x:v>272</x:v>
      </x:c>
      <x:c r="N41" s="36" t="n">
        <x:f>Assumptions!$D$24*Assumptions!F71</x:f>
        <x:v>204</x:v>
      </x:c>
      <x:c r="O41" s="36" t="n">
        <x:f>Assumptions!$D$24*Assumptions!F72</x:f>
        <x:v>170</x:v>
      </x:c>
      <x:c r="P41" s="36" t="n">
        <x:f>Assumptions!$D$24*Assumptions!F73</x:f>
        <x:v>102</x:v>
      </x:c>
      <x:c r="Q41" s="36" t="n">
        <x:f>Assumptions!$D$24*Assumptions!F74</x:f>
        <x:v>102</x:v>
      </x:c>
      <x:c r="R41" s="36" t="n">
        <x:f>Assumptions!$D$24*Assumptions!F75</x:f>
        <x:v>136</x:v>
      </x:c>
      <x:c r="S41" s="36" t="n">
        <x:f>Assumptions!$D$24*Assumptions!F76</x:f>
        <x:v>238.00000000000003</x:v>
      </x:c>
      <x:c r="T41" s="36" t="n">
        <x:f>Assumptions!$D$24*Assumptions!F77</x:f>
        <x:v>340</x:v>
      </x:c>
      <x:c r="U41" s="36" t="n">
        <x:f>Assumptions!$D$24*Assumptions!F78</x:f>
        <x:v>408</x:v>
      </x:c>
      <x:c r="V41" s="36" t="n">
        <x:f>Assumptions!$D$24*Assumptions!F79</x:f>
        <x:v>510</x:v>
      </x:c>
      <x:c r="W41" s="36" t="n">
        <x:f>Assumptions!$D$24*Assumptions!F80</x:f>
        <x:v>510</x:v>
      </x:c>
      <x:c r="X41" s="36" t="n">
        <x:f>Assumptions!$D$24*Assumptions!F81</x:f>
        <x:v>408</x:v>
      </x:c>
      <x:c r="Y41" s="36" t="n">
        <x:f>Assumptions!$D$24*Assumptions!F82</x:f>
        <x:v>272</x:v>
      </x:c>
      <x:c r="Z41" s="36" t="n">
        <x:f>Assumptions!$D$24*Assumptions!F83</x:f>
        <x:v>204</x:v>
      </x:c>
      <x:c r="AA41" s="36" t="n">
        <x:f>Assumptions!$D$24*Assumptions!F84</x:f>
        <x:v>170</x:v>
      </x:c>
    </x:row>
    <x:row r="42" ht="21" customHeight="1">
      <x:c r="C42" s="2" t="str">
        <x:v>Total travelers served</x:v>
      </x:c>
      <x:c r="D42" s="37" t="n">
        <x:f>D41+D18</x:f>
        <x:v>102</x:v>
      </x:c>
      <x:c r="E42" s="37" t="n">
        <x:f>E41+E18</x:f>
        <x:v>102</x:v>
      </x:c>
      <x:c r="F42" s="37" t="n">
        <x:f>F41+F18</x:f>
        <x:v>136</x:v>
      </x:c>
      <x:c r="G42" s="37" t="n">
        <x:f>G41+G18</x:f>
        <x:v>246.64000000000001</x:v>
      </x:c>
      <x:c r="H42" s="37" t="n">
        <x:f>H41+H18</x:f>
        <x:v>354.4</x:v>
      </x:c>
      <x:c r="I42" s="37" t="n">
        <x:f>I41+I18</x:f>
        <x:v>433.2</x:v>
      </x:c>
      <x:c r="J42" s="37" t="n">
        <x:f>J41+J18</x:f>
        <x:v>540.24</x:v>
      </x:c>
      <x:c r="K42" s="37" t="n">
        <x:f>K41+K18</x:f>
        <x:v>542.4</x:v>
      </x:c>
      <x:c r="L42" s="37" t="n">
        <x:f>L41+L18</x:f>
        <x:v>433.92</x:v>
      </x:c>
      <x:c r="M42" s="37" t="n">
        <x:f>M41+M18</x:f>
        <x:v>290</x:v>
      </x:c>
      <x:c r="N42" s="37" t="n">
        <x:f>N41+N18</x:f>
        <x:v>218.4</x:v>
      </x:c>
      <x:c r="O42" s="37" t="n">
        <x:f>O41+O18</x:f>
        <x:v>180.8</x:v>
      </x:c>
      <x:c r="P42" s="37" t="n">
        <x:f>P41+P18</x:f>
        <x:v>150</x:v>
      </x:c>
      <x:c r="Q42" s="37" t="n">
        <x:f>Q41+Q18</x:f>
        <x:v>150</x:v>
      </x:c>
      <x:c r="R42" s="37" t="n">
        <x:f>R41+R18</x:f>
        <x:v>208</x:v>
      </x:c>
      <x:c r="S42" s="37" t="n">
        <x:f>S41+S18</x:f>
        <x:v>334</x:v>
      </x:c>
      <x:c r="T42" s="37" t="n">
        <x:f>T41+T18</x:f>
        <x:v>484</x:v>
      </x:c>
      <x:c r="U42" s="37" t="n">
        <x:f>U41+U18</x:f>
        <x:v>624</x:v>
      </x:c>
      <x:c r="V42" s="37" t="n">
        <x:f>V41+V18</x:f>
        <x:v>750</x:v>
      </x:c>
      <x:c r="W42" s="37" t="n">
        <x:f>W41+W18</x:f>
        <x:v>726</x:v>
      </x:c>
      <x:c r="X42" s="37" t="n">
        <x:f>X41+X18</x:f>
        <x:v>576</x:v>
      </x:c>
      <x:c r="Y42" s="37" t="n">
        <x:f>Y41+Y18</x:f>
        <x:v>380</x:v>
      </x:c>
      <x:c r="Z42" s="37" t="n">
        <x:f>Z41+Z18</x:f>
        <x:v>288</x:v>
      </x:c>
      <x:c r="AA42" s="37" t="n">
        <x:f>AA41+AA18</x:f>
        <x:v>230</x:v>
      </x:c>
    </x:row>
    <x:row r="43" ht="21" customHeight="1">
      <x:c r="C43" s="2" t="str">
        <x:v>All departures needed</x:v>
      </x:c>
      <x:c r="D43" s="36" t="n">
        <x:f>ROUNDUP(D42/Assumptions!$D$28,0)</x:f>
        <x:v>9</x:v>
      </x:c>
      <x:c r="E43" s="36" t="n">
        <x:f>ROUNDUP(E42/Assumptions!$D$28,0)</x:f>
        <x:v>9</x:v>
      </x:c>
      <x:c r="F43" s="36" t="n">
        <x:f>ROUNDUP(F42/Assumptions!$D$28,0)</x:f>
        <x:v>12</x:v>
      </x:c>
      <x:c r="G43" s="36" t="n">
        <x:f>ROUNDUP(G42/Assumptions!$D$28,0)</x:f>
        <x:v>21</x:v>
      </x:c>
      <x:c r="H43" s="36" t="n">
        <x:f>ROUNDUP(H42/Assumptions!$D$28,0)</x:f>
        <x:v>30</x:v>
      </x:c>
      <x:c r="I43" s="36" t="n">
        <x:f>ROUNDUP(I42/Assumptions!$D$28,0)</x:f>
        <x:v>37</x:v>
      </x:c>
      <x:c r="J43" s="36" t="n">
        <x:f>ROUNDUP(J42/Assumptions!$D$28,0)</x:f>
        <x:v>46</x:v>
      </x:c>
      <x:c r="K43" s="36" t="n">
        <x:f>ROUNDUP(K42/Assumptions!$D$28,0)</x:f>
        <x:v>46</x:v>
      </x:c>
      <x:c r="L43" s="36" t="n">
        <x:f>ROUNDUP(L42/Assumptions!$D$28,0)</x:f>
        <x:v>37</x:v>
      </x:c>
      <x:c r="M43" s="36" t="n">
        <x:f>ROUNDUP(M42/Assumptions!$D$28,0)</x:f>
        <x:v>25</x:v>
      </x:c>
      <x:c r="N43" s="36" t="n">
        <x:f>ROUNDUP(N42/Assumptions!$D$28,0)</x:f>
        <x:v>19</x:v>
      </x:c>
      <x:c r="O43" s="36" t="n">
        <x:f>ROUNDUP(O42/Assumptions!$D$28,0)</x:f>
        <x:v>16</x:v>
      </x:c>
      <x:c r="P43" s="36" t="n">
        <x:f>ROUNDUP(P42/Assumptions!$D$28,0)</x:f>
        <x:v>13</x:v>
      </x:c>
      <x:c r="Q43" s="36" t="n">
        <x:f>ROUNDUP(Q42/Assumptions!$D$28,0)</x:f>
        <x:v>13</x:v>
      </x:c>
      <x:c r="R43" s="36" t="n">
        <x:f>ROUNDUP(R42/Assumptions!$D$28,0)</x:f>
        <x:v>18</x:v>
      </x:c>
      <x:c r="S43" s="36" t="n">
        <x:f>ROUNDUP(S42/Assumptions!$D$28,0)</x:f>
        <x:v>28</x:v>
      </x:c>
      <x:c r="T43" s="36" t="n">
        <x:f>ROUNDUP(T42/Assumptions!$D$28,0)</x:f>
        <x:v>41</x:v>
      </x:c>
      <x:c r="U43" s="36" t="n">
        <x:f>ROUNDUP(U42/Assumptions!$D$28,0)</x:f>
        <x:v>52</x:v>
      </x:c>
      <x:c r="V43" s="36" t="n">
        <x:f>ROUNDUP(V42/Assumptions!$D$28,0)</x:f>
        <x:v>63</x:v>
      </x:c>
      <x:c r="W43" s="36" t="n">
        <x:f>ROUNDUP(W42/Assumptions!$D$28,0)</x:f>
        <x:v>61</x:v>
      </x:c>
      <x:c r="X43" s="36" t="n">
        <x:f>ROUNDUP(X42/Assumptions!$D$28,0)</x:f>
        <x:v>48</x:v>
      </x:c>
      <x:c r="Y43" s="36" t="n">
        <x:f>ROUNDUP(Y42/Assumptions!$D$28,0)</x:f>
        <x:v>32</x:v>
      </x:c>
      <x:c r="Z43" s="36" t="n">
        <x:f>ROUNDUP(Z42/Assumptions!$D$28,0)</x:f>
        <x:v>24</x:v>
      </x:c>
      <x:c r="AA43" s="36" t="n">
        <x:f>ROUNDUP(AA42/Assumptions!$D$28,0)</x:f>
        <x:v>20</x:v>
      </x:c>
    </x:row>
    <x:row r="44" ht="21" customHeight="1">
      <x:c r="C44" s="2" t="str">
        <x:v>Guide days needed</x:v>
      </x:c>
      <x:c r="D44" s="36" t="n">
        <x:f>D43*Assumptions!$D$29</x:f>
        <x:v>36</x:v>
      </x:c>
      <x:c r="E44" s="36" t="n">
        <x:f>E43*Assumptions!$D$29</x:f>
        <x:v>36</x:v>
      </x:c>
      <x:c r="F44" s="36" t="n">
        <x:f>F43*Assumptions!$D$29</x:f>
        <x:v>48</x:v>
      </x:c>
      <x:c r="G44" s="36" t="n">
        <x:f>G43*Assumptions!$D$29</x:f>
        <x:v>84</x:v>
      </x:c>
      <x:c r="H44" s="36" t="n">
        <x:f>H43*Assumptions!$D$29</x:f>
        <x:v>120</x:v>
      </x:c>
      <x:c r="I44" s="36" t="n">
        <x:f>I43*Assumptions!$D$29</x:f>
        <x:v>148</x:v>
      </x:c>
      <x:c r="J44" s="36" t="n">
        <x:f>J43*Assumptions!$D$29</x:f>
        <x:v>184</x:v>
      </x:c>
      <x:c r="K44" s="36" t="n">
        <x:f>K43*Assumptions!$D$29</x:f>
        <x:v>184</x:v>
      </x:c>
      <x:c r="L44" s="36" t="n">
        <x:f>L43*Assumptions!$D$29</x:f>
        <x:v>148</x:v>
      </x:c>
      <x:c r="M44" s="36" t="n">
        <x:f>M43*Assumptions!$D$29</x:f>
        <x:v>100</x:v>
      </x:c>
      <x:c r="N44" s="36" t="n">
        <x:f>N43*Assumptions!$D$29</x:f>
        <x:v>76</x:v>
      </x:c>
      <x:c r="O44" s="36" t="n">
        <x:f>O43*Assumptions!$D$29</x:f>
        <x:v>64</x:v>
      </x:c>
      <x:c r="P44" s="36" t="n">
        <x:f>P43*Assumptions!$D$29</x:f>
        <x:v>52</x:v>
      </x:c>
      <x:c r="Q44" s="36" t="n">
        <x:f>Q43*Assumptions!$D$29</x:f>
        <x:v>52</x:v>
      </x:c>
      <x:c r="R44" s="36" t="n">
        <x:f>R43*Assumptions!$D$29</x:f>
        <x:v>72</x:v>
      </x:c>
      <x:c r="S44" s="36" t="n">
        <x:f>S43*Assumptions!$D$29</x:f>
        <x:v>112</x:v>
      </x:c>
      <x:c r="T44" s="36" t="n">
        <x:f>T43*Assumptions!$D$29</x:f>
        <x:v>164</x:v>
      </x:c>
      <x:c r="U44" s="36" t="n">
        <x:f>U43*Assumptions!$D$29</x:f>
        <x:v>208</x:v>
      </x:c>
      <x:c r="V44" s="36" t="n">
        <x:f>V43*Assumptions!$D$29</x:f>
        <x:v>252</x:v>
      </x:c>
      <x:c r="W44" s="36" t="n">
        <x:f>W43*Assumptions!$D$29</x:f>
        <x:v>244</x:v>
      </x:c>
      <x:c r="X44" s="36" t="n">
        <x:f>X43*Assumptions!$D$29</x:f>
        <x:v>192</x:v>
      </x:c>
      <x:c r="Y44" s="36" t="n">
        <x:f>Y43*Assumptions!$D$29</x:f>
        <x:v>128</x:v>
      </x:c>
      <x:c r="Z44" s="36" t="n">
        <x:f>Z43*Assumptions!$D$29</x:f>
        <x:v>96</x:v>
      </x:c>
      <x:c r="AA44" s="36" t="n">
        <x:f>AA43*Assumptions!$D$29</x:f>
        <x:v>80</x:v>
      </x:c>
    </x:row>
    <x:row r="45" ht="21" customHeight="1">
      <x:c r="C45" s="2" t="str">
        <x:v>Available guide days</x:v>
      </x:c>
      <x:c r="D45" s="36" t="n">
        <x:f>Assumptions!$D$30*Assumptions!$D$31</x:f>
        <x:v>300</x:v>
      </x:c>
      <x:c r="E45" s="36" t="n">
        <x:f>Assumptions!$D$30*Assumptions!$D$31</x:f>
        <x:v>300</x:v>
      </x:c>
      <x:c r="F45" s="36" t="n">
        <x:f>Assumptions!$D$30*Assumptions!$D$31</x:f>
        <x:v>300</x:v>
      </x:c>
      <x:c r="G45" s="36" t="n">
        <x:f>Assumptions!$D$30*Assumptions!$D$31</x:f>
        <x:v>300</x:v>
      </x:c>
      <x:c r="H45" s="36" t="n">
        <x:f>Assumptions!$D$30*Assumptions!$D$31</x:f>
        <x:v>300</x:v>
      </x:c>
      <x:c r="I45" s="36" t="n">
        <x:f>Assumptions!$D$30*Assumptions!$D$31</x:f>
        <x:v>300</x:v>
      </x:c>
      <x:c r="J45" s="36" t="n">
        <x:f>Assumptions!$D$30*Assumptions!$D$31</x:f>
        <x:v>300</x:v>
      </x:c>
      <x:c r="K45" s="36" t="n">
        <x:f>Assumptions!$D$30*Assumptions!$D$31</x:f>
        <x:v>300</x:v>
      </x:c>
      <x:c r="L45" s="36" t="n">
        <x:f>Assumptions!$D$30*Assumptions!$D$31</x:f>
        <x:v>300</x:v>
      </x:c>
      <x:c r="M45" s="36" t="n">
        <x:f>Assumptions!$D$30*Assumptions!$D$31</x:f>
        <x:v>300</x:v>
      </x:c>
      <x:c r="N45" s="36" t="n">
        <x:f>Assumptions!$D$30*Assumptions!$D$31</x:f>
        <x:v>300</x:v>
      </x:c>
      <x:c r="O45" s="36" t="n">
        <x:f>Assumptions!$D$30*Assumptions!$D$31</x:f>
        <x:v>300</x:v>
      </x:c>
      <x:c r="P45" s="36" t="n">
        <x:f>Assumptions!$D$30*Assumptions!$D$31</x:f>
        <x:v>300</x:v>
      </x:c>
      <x:c r="Q45" s="36" t="n">
        <x:f>Assumptions!$D$30*Assumptions!$D$31</x:f>
        <x:v>300</x:v>
      </x:c>
      <x:c r="R45" s="36" t="n">
        <x:f>Assumptions!$D$30*Assumptions!$D$31</x:f>
        <x:v>300</x:v>
      </x:c>
      <x:c r="S45" s="36" t="n">
        <x:f>Assumptions!$D$30*Assumptions!$D$31</x:f>
        <x:v>300</x:v>
      </x:c>
      <x:c r="T45" s="36" t="n">
        <x:f>Assumptions!$D$30*Assumptions!$D$31</x:f>
        <x:v>300</x:v>
      </x:c>
      <x:c r="U45" s="36" t="n">
        <x:f>Assumptions!$D$30*Assumptions!$D$31</x:f>
        <x:v>300</x:v>
      </x:c>
      <x:c r="V45" s="36" t="n">
        <x:f>Assumptions!$D$30*Assumptions!$D$31</x:f>
        <x:v>300</x:v>
      </x:c>
      <x:c r="W45" s="36" t="n">
        <x:f>Assumptions!$D$30*Assumptions!$D$31</x:f>
        <x:v>300</x:v>
      </x:c>
      <x:c r="X45" s="36" t="n">
        <x:f>Assumptions!$D$30*Assumptions!$D$31</x:f>
        <x:v>300</x:v>
      </x:c>
      <x:c r="Y45" s="36" t="n">
        <x:f>Assumptions!$D$30*Assumptions!$D$31</x:f>
        <x:v>300</x:v>
      </x:c>
      <x:c r="Z45" s="36" t="n">
        <x:f>Assumptions!$D$30*Assumptions!$D$31</x:f>
        <x:v>300</x:v>
      </x:c>
      <x:c r="AA45" s="36" t="n">
        <x:f>Assumptions!$D$30*Assumptions!$D$31</x:f>
        <x:v>300</x:v>
      </x:c>
    </x:row>
    <x:row r="46" ht="21" customHeight="1">
      <x:c r="C46" s="2" t="str">
        <x:v>Guide capacity utilization</x:v>
      </x:c>
      <x:c r="D46" s="9" t="n">
        <x:f>D44/D45</x:f>
        <x:v>0.12</x:v>
      </x:c>
      <x:c r="E46" s="9" t="n">
        <x:f>E44/E45</x:f>
        <x:v>0.12</x:v>
      </x:c>
      <x:c r="F46" s="9" t="n">
        <x:f>F44/F45</x:f>
        <x:v>0.16</x:v>
      </x:c>
      <x:c r="G46" s="9" t="n">
        <x:f>G44/G45</x:f>
        <x:v>0.28</x:v>
      </x:c>
      <x:c r="H46" s="9" t="n">
        <x:f>H44/H45</x:f>
        <x:v>0.4</x:v>
      </x:c>
      <x:c r="I46" s="9" t="n">
        <x:f>I44/I45</x:f>
        <x:v>0.49333333333333335</x:v>
      </x:c>
      <x:c r="J46" s="9" t="n">
        <x:f>J44/J45</x:f>
        <x:v>0.6133333333333333</x:v>
      </x:c>
      <x:c r="K46" s="9" t="n">
        <x:f>K44/K45</x:f>
        <x:v>0.6133333333333333</x:v>
      </x:c>
      <x:c r="L46" s="9" t="n">
        <x:f>L44/L45</x:f>
        <x:v>0.49333333333333335</x:v>
      </x:c>
      <x:c r="M46" s="9" t="n">
        <x:f>M44/M45</x:f>
        <x:v>0.3333333333333333</x:v>
      </x:c>
      <x:c r="N46" s="9" t="n">
        <x:f>N44/N45</x:f>
        <x:v>0.25333333333333335</x:v>
      </x:c>
      <x:c r="O46" s="9" t="n">
        <x:f>O44/O45</x:f>
        <x:v>0.21333333333333335</x:v>
      </x:c>
      <x:c r="P46" s="9" t="n">
        <x:f>P44/P45</x:f>
        <x:v>0.17333333333333334</x:v>
      </x:c>
      <x:c r="Q46" s="9" t="n">
        <x:f>Q44/Q45</x:f>
        <x:v>0.17333333333333334</x:v>
      </x:c>
      <x:c r="R46" s="9" t="n">
        <x:f>R44/R45</x:f>
        <x:v>0.24</x:v>
      </x:c>
      <x:c r="S46" s="9" t="n">
        <x:f>S44/S45</x:f>
        <x:v>0.37333333333333335</x:v>
      </x:c>
      <x:c r="T46" s="9" t="n">
        <x:f>T44/T45</x:f>
        <x:v>0.5466666666666666</x:v>
      </x:c>
      <x:c r="U46" s="9" t="n">
        <x:f>U44/U45</x:f>
        <x:v>0.6933333333333334</x:v>
      </x:c>
      <x:c r="V46" s="9" t="n">
        <x:f>V44/V45</x:f>
        <x:v>0.84</x:v>
      </x:c>
      <x:c r="W46" s="9" t="n">
        <x:f>W44/W45</x:f>
        <x:v>0.8133333333333334</x:v>
      </x:c>
      <x:c r="X46" s="9" t="n">
        <x:f>X44/X45</x:f>
        <x:v>0.64</x:v>
      </x:c>
      <x:c r="Y46" s="9" t="n">
        <x:f>Y44/Y45</x:f>
        <x:v>0.4266666666666667</x:v>
      </x:c>
      <x:c r="Z46" s="9" t="n">
        <x:f>Z44/Z45</x:f>
        <x:v>0.32</x:v>
      </x:c>
      <x:c r="AA46" s="9" t="n">
        <x:f>AA44/AA45</x:f>
        <x:v>0.26666666666666666</x:v>
      </x:c>
    </x:row>
    <x:row r="47" ht="21" customHeight="1">
      <x:c r="C47" s="2" t="str">
        <x:v>Unused incremental traveler capacity</x:v>
      </x:c>
      <x:c r="D47" s="37" t="n">
        <x:f>D15-D18</x:f>
        <x:v>0</x:v>
      </x:c>
      <x:c r="E47" s="37" t="n">
        <x:f>E15-E18</x:f>
        <x:v>0</x:v>
      </x:c>
      <x:c r="F47" s="37" t="n">
        <x:f>F15-F18</x:f>
        <x:v>0</x:v>
      </x:c>
      <x:c r="G47" s="37" t="n">
        <x:f>G15-G18</x:f>
        <x:v>15.360000000000001</x:v>
      </x:c>
      <x:c r="H47" s="37" t="n">
        <x:f>H15-H18</x:f>
        <x:v>9.6</x:v>
      </x:c>
      <x:c r="I47" s="37" t="n">
        <x:f>I15-I18</x:f>
        <x:v>10.799999999999997</x:v>
      </x:c>
      <x:c r="J47" s="37" t="n">
        <x:f>J15-J18</x:f>
        <x:v>17.76</x:v>
      </x:c>
      <x:c r="K47" s="37" t="n">
        <x:f>K15-K18</x:f>
        <x:v>15.600000000000001</x:v>
      </x:c>
      <x:c r="L47" s="37" t="n">
        <x:f>L15-L18</x:f>
        <x:v>10.079999999999998</x:v>
      </x:c>
      <x:c r="M47" s="37" t="n">
        <x:f>M15-M18</x:f>
        <x:v>6</x:v>
      </x:c>
      <x:c r="N47" s="37" t="n">
        <x:f>N15-N18</x:f>
        <x:v>9.6</x:v>
      </x:c>
      <x:c r="O47" s="37" t="n">
        <x:f>O15-O18</x:f>
        <x:v>13.2</x:v>
      </x:c>
      <x:c r="P47" s="37" t="n">
        <x:f>P15-P18</x:f>
        <x:v>12</x:v>
      </x:c>
      <x:c r="Q47" s="37" t="n">
        <x:f>Q15-Q18</x:f>
        <x:v>12</x:v>
      </x:c>
      <x:c r="R47" s="37" t="n">
        <x:f>R15-R18</x:f>
        <x:v>0</x:v>
      </x:c>
      <x:c r="S47" s="37" t="n">
        <x:f>S15-S18</x:f>
        <x:v>24</x:v>
      </x:c>
      <x:c r="T47" s="37" t="n">
        <x:f>T15-T18</x:f>
        <x:v>24</x:v>
      </x:c>
      <x:c r="U47" s="37" t="n">
        <x:f>U15-U18</x:f>
        <x:v>24</x:v>
      </x:c>
      <x:c r="V47" s="37" t="n">
        <x:f>V15-V18</x:f>
        <x:v>24</x:v>
      </x:c>
      <x:c r="W47" s="37" t="n">
        <x:f>W15-W18</x:f>
        <x:v>48</x:v>
      </x:c>
      <x:c r="X47" s="37" t="n">
        <x:f>X15-X18</x:f>
        <x:v>48</x:v>
      </x:c>
      <x:c r="Y47" s="37" t="n">
        <x:f>Y15-Y18</x:f>
        <x:v>36</x:v>
      </x:c>
      <x:c r="Z47" s="37" t="n">
        <x:f>Z15-Z18</x:f>
        <x:v>36</x:v>
      </x:c>
      <x:c r="AA47" s="37" t="n">
        <x:f>AA15-AA18</x:f>
        <x:v>36</x:v>
      </x:c>
    </x:row>
    <x:row r="48" ht="21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21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21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21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21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21" customHeight="1"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21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21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21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21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21" customHeight="1"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21" customHeight="1"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21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21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21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21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21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21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21" customHeight="1"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21" customHeight="1"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21" customHeight="1"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21" customHeight="1"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21" customHeight="1"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21" customHeight="1"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21" customHeight="1"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21" customHeight="1"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21" customHeight="1"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21" customHeight="1"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21" customHeight="1"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21" customHeight="1"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</x:sheetData>
  <x:conditionalFormatting sqref="D35:AA35">
    <x:cfRule type="cellIs" dxfId="0" priority="1" operator="lessThan">
      <x:formula>0</x:formula>
    </x:cfRule>
  </x:conditionalFormatting>
  <x:conditionalFormatting sqref="D46:AA46">
    <x:cfRule type="cellIs" dxfId="1" priority="2" operator="greaterThan">
      <x:formula>1</x:formula>
    </x:cfRule>
  </x:conditionalFormatting>
  <x:pageMargins left="0.7" right="0.7" top="0.75" bottom="0.75" header="0.3" footer="0.3"/>
</x:worksheet>
</file>